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Desktop\"/>
    </mc:Choice>
  </mc:AlternateContent>
  <xr:revisionPtr revIDLastSave="0" documentId="13_ncr:1_{875BB166-2C63-40A0-AF56-A3C5ECFE5D8E}" xr6:coauthVersionLast="47" xr6:coauthVersionMax="47" xr10:uidLastSave="{00000000-0000-0000-0000-000000000000}"/>
  <bookViews>
    <workbookView xWindow="-120" yWindow="-120" windowWidth="20730" windowHeight="11040" xr2:uid="{8787318C-C97D-4116-8413-76527CCCB37C}"/>
  </bookViews>
  <sheets>
    <sheet name="Guests" sheetId="1" r:id="rId1"/>
    <sheet name="Bookings" sheetId="2" r:id="rId2"/>
    <sheet name="Expen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 a="1"/>
  <c r="C2" i="1"/>
  <c r="C3" i="1" a="1"/>
  <c r="C3" i="1"/>
  <c r="C4" i="1" a="1"/>
  <c r="C4" i="1"/>
  <c r="C5" i="1" a="1"/>
  <c r="C5" i="1"/>
  <c r="C6" i="1" a="1"/>
  <c r="C6" i="1"/>
  <c r="C7" i="1" a="1"/>
  <c r="C7" i="1"/>
  <c r="C8" i="1" a="1"/>
  <c r="C8" i="1"/>
  <c r="C9" i="1" a="1"/>
  <c r="C9" i="1"/>
  <c r="C10" i="1" a="1"/>
  <c r="C10" i="1"/>
  <c r="C11" i="1" a="1"/>
  <c r="C11" i="1"/>
  <c r="C12" i="1" a="1"/>
  <c r="C12" i="1"/>
  <c r="C13" i="1" a="1"/>
  <c r="C13" i="1"/>
  <c r="C14" i="1" a="1"/>
  <c r="C14" i="1"/>
  <c r="C15" i="1" a="1"/>
  <c r="C15" i="1"/>
  <c r="C16" i="1" a="1"/>
  <c r="C16" i="1"/>
  <c r="C17" i="1" a="1"/>
  <c r="C17" i="1"/>
  <c r="C18" i="1" a="1"/>
  <c r="C18" i="1"/>
  <c r="C19" i="1" a="1"/>
  <c r="C19" i="1"/>
  <c r="C20" i="1" a="1"/>
  <c r="C20" i="1"/>
  <c r="C21" i="1" a="1"/>
  <c r="C21" i="1"/>
  <c r="C22" i="1" a="1"/>
  <c r="C22" i="1"/>
  <c r="C23" i="1" a="1"/>
  <c r="C23" i="1"/>
  <c r="C24" i="1" a="1"/>
  <c r="C24" i="1"/>
  <c r="C25" i="1" a="1"/>
  <c r="C25" i="1"/>
  <c r="C26" i="1" a="1"/>
  <c r="C26" i="1"/>
  <c r="C27" i="1" a="1"/>
  <c r="C27" i="1"/>
  <c r="C28" i="1" a="1"/>
  <c r="C28" i="1"/>
  <c r="C29" i="1" a="1"/>
  <c r="C29" i="1"/>
  <c r="C30" i="1" a="1"/>
  <c r="C30" i="1"/>
  <c r="C31" i="1" a="1"/>
  <c r="C31" i="1"/>
  <c r="C32" i="1" a="1"/>
  <c r="C32" i="1"/>
  <c r="C33" i="1" a="1"/>
  <c r="C33" i="1"/>
  <c r="C34" i="1" a="1"/>
  <c r="C34" i="1"/>
  <c r="C35" i="1" a="1"/>
  <c r="C35" i="1"/>
  <c r="C36" i="1" a="1"/>
  <c r="C36" i="1"/>
  <c r="C37" i="1" a="1"/>
  <c r="C37" i="1"/>
  <c r="C38" i="1" a="1"/>
  <c r="C38" i="1"/>
  <c r="C39" i="1" a="1"/>
  <c r="C39" i="1"/>
  <c r="C40" i="1" a="1"/>
  <c r="C40" i="1"/>
  <c r="C41" i="1" a="1"/>
  <c r="C41" i="1"/>
  <c r="C42" i="1" a="1"/>
  <c r="C42" i="1"/>
  <c r="C43" i="1" a="1"/>
  <c r="C43" i="1"/>
  <c r="C44" i="1" a="1"/>
  <c r="C44" i="1"/>
  <c r="C45" i="1" a="1"/>
  <c r="C45" i="1"/>
  <c r="C46" i="1" a="1"/>
  <c r="C46" i="1"/>
  <c r="C47" i="1" a="1"/>
  <c r="C47" i="1"/>
  <c r="C48" i="1" a="1"/>
  <c r="C48" i="1"/>
  <c r="C49" i="1" a="1"/>
  <c r="C49" i="1"/>
  <c r="C50" i="1" a="1"/>
  <c r="C50" i="1"/>
  <c r="C51" i="1" a="1"/>
  <c r="C51" i="1"/>
  <c r="C52" i="1" a="1"/>
  <c r="C52" i="1"/>
  <c r="C53" i="1" a="1"/>
  <c r="C53" i="1"/>
  <c r="C54" i="1" a="1"/>
  <c r="C54" i="1"/>
  <c r="C55" i="1" a="1"/>
  <c r="C55" i="1"/>
  <c r="C56" i="1" a="1"/>
  <c r="C56" i="1"/>
  <c r="C57" i="1" a="1"/>
  <c r="C57" i="1"/>
  <c r="C58" i="1" a="1"/>
  <c r="C58" i="1"/>
  <c r="C59" i="1" a="1"/>
  <c r="C59" i="1"/>
  <c r="C60" i="1" a="1"/>
  <c r="C60" i="1"/>
  <c r="C61" i="1" a="1"/>
  <c r="C61" i="1"/>
  <c r="C62" i="1" a="1"/>
  <c r="C62" i="1"/>
  <c r="C63" i="1" a="1"/>
  <c r="C63" i="1"/>
  <c r="C64" i="1" a="1"/>
  <c r="C64" i="1"/>
  <c r="C65" i="1" a="1"/>
  <c r="C65" i="1"/>
  <c r="C66" i="1" a="1"/>
  <c r="C66" i="1"/>
  <c r="C67" i="1" a="1"/>
  <c r="C67" i="1"/>
  <c r="C68" i="1" a="1"/>
  <c r="C68" i="1"/>
  <c r="C69" i="1" a="1"/>
  <c r="C69" i="1"/>
  <c r="C70" i="1" a="1"/>
  <c r="C70" i="1"/>
  <c r="C71" i="1" a="1"/>
  <c r="C71" i="1"/>
  <c r="C72" i="1" a="1"/>
  <c r="C72" i="1"/>
  <c r="C73" i="1" a="1"/>
  <c r="C73" i="1"/>
  <c r="C74" i="1" a="1"/>
  <c r="C74" i="1"/>
  <c r="C75" i="1" a="1"/>
  <c r="C75" i="1"/>
  <c r="C76" i="1" a="1"/>
  <c r="C76" i="1"/>
  <c r="C77" i="1" a="1"/>
  <c r="C77" i="1"/>
  <c r="C78" i="1" a="1"/>
  <c r="C78" i="1"/>
  <c r="C79" i="1" a="1"/>
  <c r="C79" i="1"/>
  <c r="C80" i="1" a="1"/>
  <c r="C80" i="1"/>
  <c r="C81" i="1" a="1"/>
  <c r="C81" i="1"/>
  <c r="C82" i="1" a="1"/>
  <c r="C82" i="1"/>
  <c r="C83" i="1" a="1"/>
  <c r="C83" i="1"/>
  <c r="C84" i="1" a="1"/>
  <c r="C84" i="1"/>
  <c r="C85" i="1" a="1"/>
  <c r="C85" i="1"/>
  <c r="C86" i="1" a="1"/>
  <c r="C86" i="1"/>
  <c r="C87" i="1" a="1"/>
  <c r="C87" i="1"/>
  <c r="C88" i="1" a="1"/>
  <c r="C88" i="1"/>
  <c r="C89" i="1" a="1"/>
  <c r="C89" i="1"/>
  <c r="C90" i="1" a="1"/>
  <c r="C90" i="1"/>
  <c r="C91" i="1" a="1"/>
  <c r="C91" i="1"/>
  <c r="C92" i="1" a="1"/>
  <c r="C92" i="1"/>
  <c r="C93" i="1" a="1"/>
  <c r="C93" i="1"/>
  <c r="C94" i="1" a="1"/>
  <c r="C94" i="1"/>
  <c r="C95" i="1" a="1"/>
  <c r="C95" i="1"/>
  <c r="C96" i="1" a="1"/>
  <c r="C96" i="1"/>
  <c r="C97" i="1" a="1"/>
  <c r="C97" i="1"/>
  <c r="C98" i="1" a="1"/>
  <c r="C98" i="1"/>
  <c r="C99" i="1" a="1"/>
  <c r="C99" i="1"/>
  <c r="C100" i="1" a="1"/>
  <c r="C100" i="1"/>
  <c r="C101" i="1" a="1"/>
  <c r="C101" i="1"/>
  <c r="C102" i="1" a="1"/>
  <c r="C102" i="1"/>
  <c r="C103" i="1" a="1"/>
  <c r="C103" i="1"/>
  <c r="C104" i="1" a="1"/>
  <c r="C104" i="1"/>
  <c r="C105" i="1" a="1"/>
  <c r="C105" i="1"/>
  <c r="C106" i="1" a="1"/>
  <c r="C106" i="1"/>
  <c r="C107" i="1" a="1"/>
  <c r="C107" i="1"/>
  <c r="C108" i="1" a="1"/>
  <c r="C108" i="1"/>
  <c r="C109" i="1" a="1"/>
  <c r="C109" i="1"/>
  <c r="C110" i="1" a="1"/>
  <c r="C110" i="1"/>
  <c r="C111" i="1" a="1"/>
  <c r="C111" i="1"/>
  <c r="C112" i="1" a="1"/>
  <c r="C112" i="1"/>
  <c r="C113" i="1" a="1"/>
  <c r="C113" i="1"/>
  <c r="C114" i="1" a="1"/>
  <c r="C114" i="1"/>
  <c r="C115" i="1" a="1"/>
  <c r="C115" i="1"/>
  <c r="C116" i="1" a="1"/>
  <c r="C116" i="1"/>
  <c r="C117" i="1" a="1"/>
  <c r="C117" i="1"/>
  <c r="C118" i="1" a="1"/>
  <c r="C118" i="1"/>
  <c r="C119" i="1" a="1"/>
  <c r="C119" i="1"/>
  <c r="C120" i="1" a="1"/>
  <c r="C120" i="1"/>
  <c r="C121" i="1" a="1"/>
  <c r="C121" i="1"/>
  <c r="C122" i="1" a="1"/>
  <c r="C122" i="1"/>
  <c r="C123" i="1" a="1"/>
  <c r="C123" i="1"/>
  <c r="C124" i="1" a="1"/>
  <c r="C124" i="1"/>
  <c r="C125" i="1" a="1"/>
  <c r="C125" i="1"/>
  <c r="C126" i="1" a="1"/>
  <c r="C126" i="1"/>
  <c r="C127" i="1" a="1"/>
  <c r="C127" i="1"/>
  <c r="C128" i="1" a="1"/>
  <c r="C128" i="1"/>
  <c r="C129" i="1" a="1"/>
  <c r="C129" i="1"/>
  <c r="C130" i="1" a="1"/>
  <c r="C130" i="1"/>
  <c r="C131" i="1" a="1"/>
  <c r="C131" i="1"/>
  <c r="C132" i="1" a="1"/>
  <c r="C132" i="1"/>
  <c r="C133" i="1" a="1"/>
  <c r="C133" i="1"/>
  <c r="C134" i="1" a="1"/>
  <c r="C134" i="1"/>
  <c r="C135" i="1" a="1"/>
  <c r="C135" i="1"/>
  <c r="C136" i="1" a="1"/>
  <c r="C136" i="1"/>
  <c r="C137" i="1" a="1"/>
  <c r="C137" i="1"/>
  <c r="C138" i="1" a="1"/>
  <c r="C138" i="1"/>
  <c r="C139" i="1" a="1"/>
  <c r="C139" i="1"/>
  <c r="C140" i="1" a="1"/>
  <c r="C140" i="1"/>
  <c r="C141" i="1" a="1"/>
  <c r="C141" i="1"/>
  <c r="C142" i="1" a="1"/>
  <c r="C142" i="1"/>
  <c r="C143" i="1" a="1"/>
  <c r="C143" i="1"/>
  <c r="C144" i="1" a="1"/>
  <c r="C144" i="1"/>
  <c r="C145" i="1" a="1"/>
  <c r="C145" i="1"/>
  <c r="C146" i="1" a="1"/>
  <c r="C146" i="1"/>
  <c r="C147" i="1" a="1"/>
  <c r="C147" i="1"/>
  <c r="C148" i="1" a="1"/>
  <c r="C148" i="1"/>
  <c r="C149" i="1" a="1"/>
  <c r="C149" i="1"/>
  <c r="C150" i="1" a="1"/>
  <c r="C150" i="1"/>
  <c r="C151" i="1" a="1"/>
  <c r="C151" i="1"/>
  <c r="C152" i="1" a="1"/>
  <c r="C152" i="1"/>
  <c r="C153" i="1" a="1"/>
  <c r="C153" i="1"/>
  <c r="C154" i="1" a="1"/>
  <c r="C154" i="1"/>
  <c r="C155" i="1" a="1"/>
  <c r="C155" i="1"/>
  <c r="C156" i="1" a="1"/>
  <c r="C156" i="1"/>
  <c r="C157" i="1" a="1"/>
  <c r="C157" i="1"/>
  <c r="C158" i="1" a="1"/>
  <c r="C158" i="1"/>
  <c r="C159" i="1" a="1"/>
  <c r="C159" i="1"/>
  <c r="C160" i="1" a="1"/>
  <c r="C160" i="1"/>
  <c r="C161" i="1" a="1"/>
  <c r="C161" i="1"/>
  <c r="C162" i="1" a="1"/>
  <c r="C162" i="1"/>
  <c r="C163" i="1" a="1"/>
  <c r="C163" i="1"/>
  <c r="C164" i="1" a="1"/>
  <c r="C164" i="1"/>
  <c r="C165" i="1" a="1"/>
  <c r="C165" i="1"/>
  <c r="C166" i="1" a="1"/>
  <c r="C166" i="1"/>
  <c r="C167" i="1" a="1"/>
  <c r="C167" i="1"/>
  <c r="C168" i="1" a="1"/>
  <c r="C168" i="1"/>
  <c r="C169" i="1" a="1"/>
  <c r="C169" i="1"/>
  <c r="C170" i="1" a="1"/>
  <c r="C170" i="1"/>
  <c r="C171" i="1" a="1"/>
  <c r="C171" i="1"/>
  <c r="C172" i="1" a="1"/>
  <c r="C172" i="1"/>
  <c r="C173" i="1" a="1"/>
  <c r="C173" i="1"/>
  <c r="C174" i="1" a="1"/>
  <c r="C174" i="1"/>
  <c r="C175" i="1" a="1"/>
  <c r="C175" i="1"/>
  <c r="C176" i="1" a="1"/>
  <c r="C176" i="1"/>
  <c r="C177" i="1" a="1"/>
  <c r="C177" i="1"/>
  <c r="C178" i="1" a="1"/>
  <c r="C178" i="1"/>
  <c r="C179" i="1" a="1"/>
  <c r="C179" i="1"/>
  <c r="C180" i="1" a="1"/>
  <c r="C180" i="1"/>
  <c r="C181" i="1" a="1"/>
  <c r="C181" i="1"/>
  <c r="C182" i="1" a="1"/>
  <c r="C182" i="1"/>
  <c r="C183" i="1" a="1"/>
  <c r="C183" i="1"/>
  <c r="C184" i="1" a="1"/>
  <c r="C184" i="1"/>
  <c r="C185" i="1" a="1"/>
  <c r="C185" i="1"/>
  <c r="C186" i="1" a="1"/>
  <c r="C186" i="1"/>
  <c r="C187" i="1" a="1"/>
  <c r="C187" i="1"/>
  <c r="C188" i="1" a="1"/>
  <c r="C188" i="1"/>
  <c r="C189" i="1" a="1"/>
  <c r="C189" i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N2" i="2"/>
  <c r="M2" i="2" s="1"/>
  <c r="N3" i="2"/>
  <c r="M3" i="2" s="1"/>
  <c r="N4" i="2"/>
  <c r="M4" i="2" s="1"/>
  <c r="N5" i="2"/>
  <c r="M5" i="2" s="1"/>
  <c r="N6" i="2"/>
  <c r="M6" i="2" s="1"/>
  <c r="N7" i="2"/>
  <c r="M7" i="2" s="1"/>
  <c r="N8" i="2"/>
  <c r="M8" i="2" s="1"/>
  <c r="N9" i="2"/>
  <c r="M9" i="2" s="1"/>
  <c r="N10" i="2"/>
  <c r="M10" i="2" s="1"/>
  <c r="N11" i="2"/>
  <c r="M11" i="2" s="1"/>
  <c r="N12" i="2"/>
  <c r="M12" i="2" s="1"/>
  <c r="N13" i="2"/>
  <c r="M13" i="2" s="1"/>
  <c r="N14" i="2"/>
  <c r="M14" i="2" s="1"/>
  <c r="N15" i="2"/>
  <c r="M15" i="2" s="1"/>
  <c r="N16" i="2"/>
  <c r="M16" i="2" s="1"/>
  <c r="N17" i="2"/>
  <c r="M17" i="2" s="1"/>
  <c r="N18" i="2"/>
  <c r="M18" i="2" s="1"/>
  <c r="N19" i="2"/>
  <c r="M19" i="2" s="1"/>
  <c r="N20" i="2"/>
  <c r="M20" i="2" s="1"/>
  <c r="N21" i="2"/>
  <c r="M21" i="2" s="1"/>
  <c r="N22" i="2"/>
  <c r="M22" i="2" s="1"/>
  <c r="N23" i="2"/>
  <c r="M23" i="2" s="1"/>
  <c r="N24" i="2"/>
  <c r="M24" i="2" s="1"/>
  <c r="N25" i="2"/>
  <c r="M25" i="2" s="1"/>
  <c r="N26" i="2"/>
  <c r="M26" i="2" s="1"/>
  <c r="N27" i="2"/>
  <c r="M27" i="2" s="1"/>
  <c r="N28" i="2"/>
  <c r="M28" i="2" s="1"/>
  <c r="N29" i="2"/>
  <c r="M29" i="2" s="1"/>
  <c r="N30" i="2"/>
  <c r="M30" i="2" s="1"/>
  <c r="N31" i="2"/>
  <c r="M31" i="2" s="1"/>
  <c r="N32" i="2"/>
  <c r="M32" i="2" s="1"/>
  <c r="N33" i="2"/>
  <c r="M33" i="2" s="1"/>
  <c r="N34" i="2"/>
  <c r="M34" i="2" s="1"/>
  <c r="N35" i="2"/>
  <c r="M35" i="2" s="1"/>
  <c r="N36" i="2"/>
  <c r="M36" i="2" s="1"/>
  <c r="N37" i="2"/>
  <c r="M37" i="2" s="1"/>
  <c r="N38" i="2"/>
  <c r="M38" i="2" s="1"/>
  <c r="N39" i="2"/>
  <c r="M39" i="2" s="1"/>
  <c r="N40" i="2"/>
  <c r="M40" i="2" s="1"/>
  <c r="N41" i="2"/>
  <c r="M41" i="2" s="1"/>
  <c r="N42" i="2"/>
  <c r="M42" i="2" s="1"/>
  <c r="N43" i="2"/>
  <c r="M43" i="2" s="1"/>
  <c r="N44" i="2"/>
  <c r="M44" i="2" s="1"/>
  <c r="N45" i="2"/>
  <c r="M45" i="2" s="1"/>
  <c r="N46" i="2"/>
  <c r="M46" i="2" s="1"/>
  <c r="N47" i="2"/>
  <c r="M47" i="2" s="1"/>
  <c r="N48" i="2"/>
  <c r="M48" i="2" s="1"/>
  <c r="N49" i="2"/>
  <c r="M49" i="2" s="1"/>
  <c r="N50" i="2"/>
  <c r="M50" i="2" s="1"/>
  <c r="N51" i="2"/>
  <c r="M51" i="2" s="1"/>
  <c r="N52" i="2"/>
  <c r="M52" i="2" s="1"/>
  <c r="N53" i="2"/>
  <c r="M53" i="2" s="1"/>
  <c r="N54" i="2"/>
  <c r="M54" i="2" s="1"/>
  <c r="N55" i="2"/>
  <c r="M55" i="2" s="1"/>
  <c r="N56" i="2"/>
  <c r="M56" i="2" s="1"/>
  <c r="N57" i="2"/>
  <c r="M57" i="2" s="1"/>
  <c r="N58" i="2"/>
  <c r="M58" i="2" s="1"/>
  <c r="N59" i="2"/>
  <c r="M59" i="2" s="1"/>
  <c r="N60" i="2"/>
  <c r="M60" i="2" s="1"/>
  <c r="N61" i="2"/>
  <c r="M61" i="2" s="1"/>
  <c r="N62" i="2"/>
  <c r="M62" i="2" s="1"/>
  <c r="N63" i="2"/>
  <c r="M63" i="2" s="1"/>
  <c r="N64" i="2"/>
  <c r="M64" i="2" s="1"/>
  <c r="N65" i="2"/>
  <c r="M65" i="2" s="1"/>
  <c r="N66" i="2"/>
  <c r="M66" i="2" s="1"/>
  <c r="N67" i="2"/>
  <c r="M67" i="2" s="1"/>
  <c r="N68" i="2"/>
  <c r="M68" i="2" s="1"/>
  <c r="N69" i="2"/>
  <c r="M69" i="2" s="1"/>
  <c r="N70" i="2"/>
  <c r="M70" i="2" s="1"/>
  <c r="N71" i="2"/>
  <c r="M71" i="2" s="1"/>
  <c r="N72" i="2"/>
  <c r="M72" i="2" s="1"/>
  <c r="N73" i="2"/>
  <c r="M73" i="2" s="1"/>
  <c r="N74" i="2"/>
  <c r="M74" i="2" s="1"/>
  <c r="N75" i="2"/>
  <c r="M75" i="2" s="1"/>
  <c r="N76" i="2"/>
  <c r="M76" i="2" s="1"/>
  <c r="N77" i="2"/>
  <c r="M77" i="2" s="1"/>
  <c r="N78" i="2"/>
  <c r="M78" i="2" s="1"/>
  <c r="N79" i="2"/>
  <c r="M79" i="2" s="1"/>
  <c r="N80" i="2"/>
  <c r="M80" i="2" s="1"/>
  <c r="N81" i="2"/>
  <c r="M81" i="2" s="1"/>
  <c r="N82" i="2"/>
  <c r="M82" i="2" s="1"/>
  <c r="N83" i="2"/>
  <c r="M83" i="2" s="1"/>
  <c r="N84" i="2"/>
  <c r="M84" i="2" s="1"/>
  <c r="N85" i="2"/>
  <c r="M85" i="2" s="1"/>
  <c r="N86" i="2"/>
  <c r="M86" i="2" s="1"/>
  <c r="N87" i="2"/>
  <c r="M87" i="2" s="1"/>
  <c r="N88" i="2"/>
  <c r="M88" i="2" s="1"/>
  <c r="N89" i="2"/>
  <c r="M89" i="2" s="1"/>
  <c r="N90" i="2"/>
  <c r="M90" i="2" s="1"/>
  <c r="N91" i="2"/>
  <c r="M91" i="2" s="1"/>
  <c r="N92" i="2"/>
  <c r="M92" i="2" s="1"/>
  <c r="N93" i="2"/>
  <c r="M93" i="2" s="1"/>
  <c r="N94" i="2"/>
  <c r="M94" i="2" s="1"/>
  <c r="N95" i="2"/>
  <c r="M95" i="2" s="1"/>
  <c r="N96" i="2"/>
  <c r="M96" i="2" s="1"/>
  <c r="N97" i="2"/>
  <c r="M97" i="2" s="1"/>
  <c r="N98" i="2"/>
  <c r="M98" i="2" s="1"/>
  <c r="N99" i="2"/>
  <c r="M99" i="2" s="1"/>
  <c r="N100" i="2"/>
  <c r="M100" i="2" s="1"/>
  <c r="N101" i="2"/>
  <c r="M101" i="2" s="1"/>
  <c r="N102" i="2"/>
  <c r="M102" i="2" s="1"/>
  <c r="N103" i="2"/>
  <c r="M103" i="2" s="1"/>
  <c r="N104" i="2"/>
  <c r="M104" i="2" s="1"/>
  <c r="N105" i="2"/>
  <c r="M105" i="2" s="1"/>
  <c r="N106" i="2"/>
  <c r="M106" i="2" s="1"/>
  <c r="N107" i="2"/>
  <c r="M107" i="2" s="1"/>
  <c r="N108" i="2"/>
  <c r="M108" i="2" s="1"/>
  <c r="N109" i="2"/>
  <c r="M109" i="2" s="1"/>
  <c r="N110" i="2"/>
  <c r="M110" i="2" s="1"/>
  <c r="N111" i="2"/>
  <c r="M111" i="2" s="1"/>
  <c r="N112" i="2"/>
  <c r="M112" i="2" s="1"/>
  <c r="N113" i="2"/>
  <c r="M113" i="2" s="1"/>
  <c r="N114" i="2"/>
  <c r="M114" i="2" s="1"/>
  <c r="N115" i="2"/>
  <c r="M115" i="2" s="1"/>
  <c r="N116" i="2"/>
  <c r="M116" i="2" s="1"/>
  <c r="N117" i="2"/>
  <c r="M117" i="2" s="1"/>
  <c r="N118" i="2"/>
  <c r="M118" i="2" s="1"/>
  <c r="N119" i="2"/>
  <c r="M119" i="2" s="1"/>
  <c r="N120" i="2"/>
  <c r="M120" i="2" s="1"/>
  <c r="N121" i="2"/>
  <c r="M121" i="2" s="1"/>
  <c r="N122" i="2"/>
  <c r="M122" i="2" s="1"/>
  <c r="N123" i="2"/>
  <c r="M123" i="2" s="1"/>
  <c r="N124" i="2"/>
  <c r="M124" i="2" s="1"/>
  <c r="N125" i="2"/>
  <c r="M125" i="2" s="1"/>
  <c r="N126" i="2"/>
  <c r="M126" i="2" s="1"/>
  <c r="N127" i="2"/>
  <c r="M127" i="2" s="1"/>
  <c r="N128" i="2"/>
  <c r="M128" i="2" s="1"/>
  <c r="N129" i="2"/>
  <c r="M129" i="2" s="1"/>
  <c r="N130" i="2"/>
  <c r="M130" i="2" s="1"/>
  <c r="N131" i="2"/>
  <c r="M131" i="2" s="1"/>
  <c r="N132" i="2"/>
  <c r="M132" i="2" s="1"/>
  <c r="N133" i="2"/>
  <c r="M133" i="2" s="1"/>
  <c r="N134" i="2"/>
  <c r="M134" i="2" s="1"/>
  <c r="N135" i="2"/>
  <c r="M135" i="2" s="1"/>
  <c r="N136" i="2"/>
  <c r="M136" i="2" s="1"/>
  <c r="N137" i="2"/>
  <c r="M137" i="2" s="1"/>
  <c r="N138" i="2"/>
  <c r="M138" i="2" s="1"/>
  <c r="N139" i="2"/>
  <c r="M139" i="2" s="1"/>
  <c r="N140" i="2"/>
  <c r="M140" i="2" s="1"/>
  <c r="N141" i="2"/>
  <c r="M141" i="2" s="1"/>
  <c r="N142" i="2"/>
  <c r="M142" i="2" s="1"/>
  <c r="N143" i="2"/>
  <c r="M143" i="2" s="1"/>
  <c r="N144" i="2"/>
  <c r="M144" i="2" s="1"/>
  <c r="N145" i="2"/>
  <c r="M145" i="2" s="1"/>
  <c r="N146" i="2"/>
  <c r="M146" i="2" s="1"/>
  <c r="N147" i="2"/>
  <c r="M147" i="2" s="1"/>
  <c r="N148" i="2"/>
  <c r="M148" i="2" s="1"/>
  <c r="N149" i="2"/>
  <c r="M149" i="2" s="1"/>
  <c r="N150" i="2"/>
  <c r="M150" i="2" s="1"/>
  <c r="N151" i="2"/>
  <c r="M151" i="2" s="1"/>
  <c r="N152" i="2"/>
  <c r="M152" i="2" s="1"/>
  <c r="N153" i="2"/>
  <c r="M153" i="2" s="1"/>
  <c r="N154" i="2"/>
  <c r="M154" i="2" s="1"/>
  <c r="N155" i="2"/>
  <c r="M155" i="2" s="1"/>
  <c r="N156" i="2"/>
  <c r="M156" i="2" s="1"/>
  <c r="N157" i="2"/>
  <c r="M157" i="2" s="1"/>
  <c r="N158" i="2"/>
  <c r="M158" i="2" s="1"/>
  <c r="N159" i="2"/>
  <c r="M159" i="2" s="1"/>
  <c r="N160" i="2"/>
  <c r="M160" i="2" s="1"/>
  <c r="N161" i="2"/>
  <c r="M161" i="2" s="1"/>
  <c r="N162" i="2"/>
  <c r="M162" i="2" s="1"/>
  <c r="N163" i="2"/>
  <c r="M163" i="2" s="1"/>
  <c r="N164" i="2"/>
  <c r="M164" i="2" s="1"/>
  <c r="N165" i="2"/>
  <c r="M165" i="2" s="1"/>
  <c r="N166" i="2"/>
  <c r="M166" i="2" s="1"/>
  <c r="N167" i="2"/>
  <c r="M167" i="2" s="1"/>
  <c r="N168" i="2"/>
  <c r="M168" i="2" s="1"/>
  <c r="N169" i="2"/>
  <c r="M169" i="2" s="1"/>
  <c r="N170" i="2"/>
  <c r="M170" i="2" s="1"/>
  <c r="N171" i="2"/>
  <c r="M171" i="2" s="1"/>
  <c r="N172" i="2"/>
  <c r="M172" i="2" s="1"/>
  <c r="N173" i="2"/>
  <c r="M173" i="2" s="1"/>
  <c r="N174" i="2"/>
  <c r="M174" i="2" s="1"/>
  <c r="N175" i="2"/>
  <c r="M175" i="2" s="1"/>
  <c r="N176" i="2"/>
  <c r="M176" i="2" s="1"/>
  <c r="N177" i="2"/>
  <c r="M177" i="2" s="1"/>
  <c r="N178" i="2"/>
  <c r="M178" i="2" s="1"/>
  <c r="N179" i="2"/>
  <c r="M179" i="2" s="1"/>
  <c r="N180" i="2"/>
  <c r="M180" i="2" s="1"/>
  <c r="N181" i="2"/>
  <c r="M181" i="2" s="1"/>
  <c r="N182" i="2"/>
  <c r="M182" i="2" s="1"/>
  <c r="N183" i="2"/>
  <c r="M183" i="2" s="1"/>
  <c r="N184" i="2"/>
  <c r="M184" i="2" s="1"/>
  <c r="N185" i="2"/>
  <c r="M185" i="2" s="1"/>
  <c r="N186" i="2"/>
  <c r="M186" i="2" s="1"/>
  <c r="N187" i="2"/>
  <c r="M187" i="2" s="1"/>
  <c r="N188" i="2"/>
  <c r="M188" i="2" s="1"/>
  <c r="N189" i="2"/>
  <c r="M189" i="2" s="1"/>
  <c r="N190" i="2"/>
  <c r="M190" i="2" s="1"/>
  <c r="N191" i="2"/>
  <c r="M191" i="2" s="1"/>
  <c r="N192" i="2"/>
  <c r="M192" i="2" s="1"/>
  <c r="N193" i="2"/>
  <c r="M193" i="2" s="1"/>
  <c r="N194" i="2"/>
  <c r="M194" i="2" s="1"/>
  <c r="N195" i="2"/>
  <c r="M195" i="2" s="1"/>
  <c r="N196" i="2"/>
  <c r="M196" i="2" s="1"/>
  <c r="N197" i="2"/>
  <c r="M197" i="2" s="1"/>
  <c r="N198" i="2"/>
  <c r="M198" i="2" s="1"/>
  <c r="N199" i="2"/>
  <c r="M199" i="2" s="1"/>
  <c r="N200" i="2"/>
  <c r="M200" i="2" s="1"/>
  <c r="N201" i="2"/>
  <c r="M201" i="2" s="1"/>
  <c r="N202" i="2"/>
  <c r="M202" i="2" s="1"/>
  <c r="N203" i="2"/>
  <c r="M203" i="2" s="1"/>
  <c r="N204" i="2"/>
  <c r="M204" i="2" s="1"/>
  <c r="N205" i="2"/>
  <c r="M205" i="2" s="1"/>
  <c r="N206" i="2"/>
  <c r="M206" i="2" s="1"/>
  <c r="N207" i="2"/>
  <c r="M207" i="2" s="1"/>
  <c r="N208" i="2"/>
  <c r="M208" i="2" s="1"/>
  <c r="N209" i="2"/>
  <c r="M209" i="2" s="1"/>
  <c r="N210" i="2"/>
  <c r="M210" i="2" s="1"/>
  <c r="N211" i="2"/>
  <c r="M211" i="2" s="1"/>
  <c r="N212" i="2"/>
  <c r="M212" i="2" s="1"/>
  <c r="N213" i="2"/>
  <c r="M213" i="2" s="1"/>
  <c r="N214" i="2"/>
  <c r="M214" i="2" s="1"/>
  <c r="N215" i="2"/>
  <c r="M215" i="2" s="1"/>
  <c r="N216" i="2"/>
  <c r="M216" i="2" s="1"/>
  <c r="N217" i="2"/>
  <c r="M217" i="2" s="1"/>
  <c r="N218" i="2"/>
  <c r="M218" i="2" s="1"/>
  <c r="N219" i="2"/>
  <c r="M219" i="2" s="1"/>
  <c r="N220" i="2"/>
  <c r="M220" i="2" s="1"/>
  <c r="N221" i="2"/>
  <c r="M221" i="2" s="1"/>
  <c r="N222" i="2"/>
  <c r="M22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<sst xmlns="http://schemas.openxmlformats.org/spreadsheetml/2006/main" count="2477" uniqueCount="501">
  <si>
    <t>Guest ID</t>
  </si>
  <si>
    <t>Age</t>
  </si>
  <si>
    <t>Age Group</t>
  </si>
  <si>
    <t>Country</t>
  </si>
  <si>
    <t>Returning Guest</t>
  </si>
  <si>
    <t>C001</t>
  </si>
  <si>
    <t>Serbia</t>
  </si>
  <si>
    <t>No</t>
  </si>
  <si>
    <t>C002</t>
  </si>
  <si>
    <t>Austria</t>
  </si>
  <si>
    <t>Yes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</si>
  <si>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</si>
  <si>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</si>
  <si>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</si>
  <si>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</si>
  <si>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</si>
  <si>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</si>
  <si>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</si>
  <si>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</si>
  <si>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</si>
  <si>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MKD</t>
  </si>
  <si>
    <t>C012</t>
  </si>
  <si>
    <t>C013</t>
  </si>
  <si>
    <t>C014</t>
  </si>
  <si>
    <t>C015</t>
  </si>
  <si>
    <t>C016</t>
  </si>
  <si>
    <t>C017</t>
  </si>
  <si>
    <t>C018</t>
  </si>
  <si>
    <t>Greece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</si>
  <si>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</si>
  <si>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</si>
  <si>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</si>
  <si>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</si>
  <si>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</si>
  <si>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</si>
  <si>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</si>
  <si>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</si>
  <si>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</si>
  <si>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</si>
  <si>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</si>
  <si>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Croatia</t>
  </si>
  <si>
    <t>C030</t>
  </si>
  <si>
    <t>Switzerland</t>
  </si>
  <si>
    <t>C031</t>
  </si>
  <si>
    <t>Albania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</si>
  <si>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</si>
  <si>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</si>
  <si>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</si>
  <si>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</si>
  <si>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</si>
  <si>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</si>
  <si>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</si>
  <si>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</si>
  <si>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</si>
  <si>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</si>
  <si>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</si>
  <si>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</si>
  <si>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</si>
  <si>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</si>
  <si>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</si>
  <si>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</si>
  <si>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</si>
  <si>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</si>
  <si>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</si>
  <si>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</si>
  <si>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</si>
  <si>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</si>
  <si>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</si>
  <si>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</si>
  <si>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</si>
  <si>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</si>
  <si>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</si>
  <si>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</si>
  <si>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</si>
  <si>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</si>
  <si>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</si>
  <si>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</si>
  <si>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</si>
  <si>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</si>
  <si>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</si>
  <si>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</si>
  <si>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</si>
  <si>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</si>
  <si>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</si>
  <si>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</si>
  <si>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</si>
  <si>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</si>
  <si>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</si>
  <si>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</si>
  <si>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</si>
  <si>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</si>
  <si>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</si>
  <si>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</si>
  <si>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</si>
  <si>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</si>
  <si>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</si>
  <si>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</si>
  <si>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</si>
  <si>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</si>
  <si>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</si>
  <si>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</si>
  <si>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</si>
  <si>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Belgium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</si>
  <si>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</si>
  <si>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</si>
  <si>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</si>
  <si>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</si>
  <si>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</si>
  <si>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</si>
  <si>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</si>
  <si>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</si>
  <si>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</si>
  <si>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</si>
  <si>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</si>
  <si>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</si>
  <si>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</si>
  <si>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</si>
  <si>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</si>
  <si>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</si>
  <si>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</si>
  <si>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</si>
  <si>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</si>
  <si>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</si>
  <si>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</si>
  <si>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</si>
  <si>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</si>
  <si>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</si>
  <si>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</si>
  <si>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</si>
  <si>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</si>
  <si>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</si>
  <si>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</si>
  <si>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</si>
  <si>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</si>
  <si>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</si>
  <si>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</si>
  <si>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</si>
  <si>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</si>
  <si>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</si>
  <si>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</si>
  <si>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</si>
  <si>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</si>
  <si>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</si>
  <si>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</si>
  <si>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</si>
  <si>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</si>
  <si>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</si>
  <si>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</si>
  <si>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</si>
  <si>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</si>
  <si>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</si>
  <si>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</si>
  <si>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</si>
  <si>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</si>
  <si>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</si>
  <si>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</si>
  <si>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</si>
  <si>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</si>
  <si>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</si>
  <si>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</si>
  <si>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</si>
  <si>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</si>
  <si>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</si>
  <si>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</si>
  <si>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</si>
  <si>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</si>
  <si>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</si>
  <si>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</si>
  <si>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</si>
  <si>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</si>
  <si>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</si>
  <si>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</si>
  <si>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</si>
  <si>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</si>
  <si>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</si>
  <si>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</si>
  <si>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</si>
  <si>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</si>
  <si>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</si>
  <si>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</si>
  <si>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</si>
  <si>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</si>
  <si>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</si>
  <si>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</si>
  <si>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</si>
  <si>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</si>
  <si>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</si>
  <si>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</si>
  <si>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</si>
  <si>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</si>
  <si>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</si>
  <si>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</si>
  <si>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</si>
  <si>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</si>
  <si>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</si>
  <si>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</si>
  <si>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</si>
  <si>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</si>
  <si>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</si>
  <si>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</si>
  <si>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</si>
  <si>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</si>
  <si>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</si>
  <si>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Booking ID</t>
  </si>
  <si>
    <t>Booking Status</t>
  </si>
  <si>
    <t>Room No</t>
  </si>
  <si>
    <t>Total Guests</t>
  </si>
  <si>
    <t>Guest Type</t>
  </si>
  <si>
    <t>Guest Nationality</t>
  </si>
  <si>
    <t>Check-in</t>
  </si>
  <si>
    <t>Check-out</t>
  </si>
  <si>
    <t>Nights Stayed</t>
  </si>
  <si>
    <t>Price per Night</t>
  </si>
  <si>
    <t>Deposit</t>
  </si>
  <si>
    <t>Amount Due</t>
  </si>
  <si>
    <t>Total Revenue</t>
  </si>
  <si>
    <t>Month</t>
  </si>
  <si>
    <t>Booking Source</t>
  </si>
  <si>
    <t>Contact Person</t>
  </si>
  <si>
    <t>2025-001</t>
  </si>
  <si>
    <t>confirmed</t>
  </si>
  <si>
    <t>Solo</t>
  </si>
  <si>
    <t>Jun</t>
  </si>
  <si>
    <t>Phone Call</t>
  </si>
  <si>
    <t>Dimitra</t>
  </si>
  <si>
    <t>2025-002</t>
  </si>
  <si>
    <t>Couple</t>
  </si>
  <si>
    <t>Messaging Apps</t>
  </si>
  <si>
    <t>Maria</t>
  </si>
  <si>
    <t>2025-003</t>
  </si>
  <si>
    <t>Family</t>
  </si>
  <si>
    <t>2025-004</t>
  </si>
  <si>
    <t>2025-005</t>
  </si>
  <si>
    <t>2025-006</t>
  </si>
  <si>
    <t>2025-007</t>
  </si>
  <si>
    <t>Grcka Info</t>
  </si>
  <si>
    <t>2025-008</t>
  </si>
  <si>
    <t>2025-009</t>
  </si>
  <si>
    <t>2025-010</t>
  </si>
  <si>
    <t>2025-011</t>
  </si>
  <si>
    <t>2025-012</t>
  </si>
  <si>
    <t>2025-013</t>
  </si>
  <si>
    <t>2025-014</t>
  </si>
  <si>
    <t>Jul</t>
  </si>
  <si>
    <t>2025-015</t>
  </si>
  <si>
    <t>2025-016</t>
  </si>
  <si>
    <t>Social Media</t>
  </si>
  <si>
    <t>2025-017</t>
  </si>
  <si>
    <t>2025-018</t>
  </si>
  <si>
    <t>2025-019</t>
  </si>
  <si>
    <t>2025-020</t>
  </si>
  <si>
    <t>2025-021</t>
  </si>
  <si>
    <t>2025-022</t>
  </si>
  <si>
    <t>2025-023</t>
  </si>
  <si>
    <t>2025-024</t>
  </si>
  <si>
    <t>2025-025</t>
  </si>
  <si>
    <t>2025-026</t>
  </si>
  <si>
    <t>2025-027</t>
  </si>
  <si>
    <t>2025-028</t>
  </si>
  <si>
    <t>Katerina</t>
  </si>
  <si>
    <t>2025-029</t>
  </si>
  <si>
    <t>Aug</t>
  </si>
  <si>
    <t>2025-030</t>
  </si>
  <si>
    <t>2025-031</t>
  </si>
  <si>
    <t>2025-032</t>
  </si>
  <si>
    <t>2025-033</t>
  </si>
  <si>
    <t>2025-034</t>
  </si>
  <si>
    <t>2025-035</t>
  </si>
  <si>
    <t>2025-036</t>
  </si>
  <si>
    <t>2025-037</t>
  </si>
  <si>
    <t>2025-038</t>
  </si>
  <si>
    <t>2025-039</t>
  </si>
  <si>
    <t>2025-040</t>
  </si>
  <si>
    <t>2025-041</t>
  </si>
  <si>
    <t>2025-042</t>
  </si>
  <si>
    <t>2025-043</t>
  </si>
  <si>
    <t>2025-044</t>
  </si>
  <si>
    <t>2025-045</t>
  </si>
  <si>
    <t>2025-046</t>
  </si>
  <si>
    <t xml:space="preserve">Phone Call </t>
  </si>
  <si>
    <t>2025-047</t>
  </si>
  <si>
    <t>2025-048</t>
  </si>
  <si>
    <t>2025-049</t>
  </si>
  <si>
    <t>2025-050</t>
  </si>
  <si>
    <t>2025-051</t>
  </si>
  <si>
    <t>2025-053</t>
  </si>
  <si>
    <t>2025-054</t>
  </si>
  <si>
    <t>2025-055</t>
  </si>
  <si>
    <t>2025-056</t>
  </si>
  <si>
    <t>2025-057</t>
  </si>
  <si>
    <t>2025-058</t>
  </si>
  <si>
    <t>2025-059</t>
  </si>
  <si>
    <t>2025-060</t>
  </si>
  <si>
    <t>2025-061</t>
  </si>
  <si>
    <t>2025-062</t>
  </si>
  <si>
    <t>2025-063</t>
  </si>
  <si>
    <t>Walk in</t>
  </si>
  <si>
    <t>2025-064</t>
  </si>
  <si>
    <t>2025-065</t>
  </si>
  <si>
    <t>Referral</t>
  </si>
  <si>
    <t>2025-066</t>
  </si>
  <si>
    <t>2025-067</t>
  </si>
  <si>
    <t>2025-052</t>
  </si>
  <si>
    <t>2025-068</t>
  </si>
  <si>
    <t>2025-069</t>
  </si>
  <si>
    <t>2025-070</t>
  </si>
  <si>
    <t>2025-071</t>
  </si>
  <si>
    <t>2025-072</t>
  </si>
  <si>
    <t>2025-073</t>
  </si>
  <si>
    <t>cancelled</t>
  </si>
  <si>
    <t>2025-074</t>
  </si>
  <si>
    <t>2025-075</t>
  </si>
  <si>
    <t>2025-076</t>
  </si>
  <si>
    <t>2025-077</t>
  </si>
  <si>
    <t>2025-078</t>
  </si>
  <si>
    <t>2025-079</t>
  </si>
  <si>
    <t>2025-080</t>
  </si>
  <si>
    <t>2025-081</t>
  </si>
  <si>
    <t>2025-082</t>
  </si>
  <si>
    <t>2025-083</t>
  </si>
  <si>
    <t>2025-084</t>
  </si>
  <si>
    <t>2025-085</t>
  </si>
  <si>
    <t>2025-086</t>
  </si>
  <si>
    <t>2025-087</t>
  </si>
  <si>
    <t>2025-088</t>
  </si>
  <si>
    <t>2025-089</t>
  </si>
  <si>
    <t>2025-090</t>
  </si>
  <si>
    <t>2025-091</t>
  </si>
  <si>
    <t>2025-092</t>
  </si>
  <si>
    <t>2025-093</t>
  </si>
  <si>
    <t>2025-094</t>
  </si>
  <si>
    <t>2025-095</t>
  </si>
  <si>
    <t>2025-096</t>
  </si>
  <si>
    <t>2025-097</t>
  </si>
  <si>
    <t>2025-098</t>
  </si>
  <si>
    <t>2025-099</t>
  </si>
  <si>
    <t>2025-100</t>
  </si>
  <si>
    <t>2025-101</t>
  </si>
  <si>
    <t>2025-102</t>
  </si>
  <si>
    <t>2025-103</t>
  </si>
  <si>
    <t>2025-104</t>
  </si>
  <si>
    <t>2025-105</t>
  </si>
  <si>
    <t>2025-106</t>
  </si>
  <si>
    <t>2025-107</t>
  </si>
  <si>
    <t>Sep</t>
  </si>
  <si>
    <t>2025-108</t>
  </si>
  <si>
    <t>2025-109</t>
  </si>
  <si>
    <t>2025-110</t>
  </si>
  <si>
    <t>2025-111</t>
  </si>
  <si>
    <t>2025-112</t>
  </si>
  <si>
    <t>2025-113</t>
  </si>
  <si>
    <t>2025-114</t>
  </si>
  <si>
    <t>2025-115</t>
  </si>
  <si>
    <t>2025-116</t>
  </si>
  <si>
    <t>2025-117</t>
  </si>
  <si>
    <t>2025-118</t>
  </si>
  <si>
    <t>2025-119</t>
  </si>
  <si>
    <t>2025-120</t>
  </si>
  <si>
    <t>2025-121</t>
  </si>
  <si>
    <t>2025-122</t>
  </si>
  <si>
    <t>2025-123</t>
  </si>
  <si>
    <t>2025-124</t>
  </si>
  <si>
    <t>2025-125</t>
  </si>
  <si>
    <t>2025-126</t>
  </si>
  <si>
    <t>2025-127</t>
  </si>
  <si>
    <t>2025-128</t>
  </si>
  <si>
    <t>2025-129</t>
  </si>
  <si>
    <t>2025-130</t>
  </si>
  <si>
    <t>2025-131</t>
  </si>
  <si>
    <t>2025-132</t>
  </si>
  <si>
    <t>2025-133</t>
  </si>
  <si>
    <t>2025-134</t>
  </si>
  <si>
    <t>2025-135</t>
  </si>
  <si>
    <t>2025-136</t>
  </si>
  <si>
    <t>2025-137</t>
  </si>
  <si>
    <t>2025-138</t>
  </si>
  <si>
    <t>2025-139</t>
  </si>
  <si>
    <t>2025-140</t>
  </si>
  <si>
    <t>2025-141</t>
  </si>
  <si>
    <t>2025-142</t>
  </si>
  <si>
    <t>2025-143</t>
  </si>
  <si>
    <t>2025-144</t>
  </si>
  <si>
    <t>2025-145</t>
  </si>
  <si>
    <t>2025-146</t>
  </si>
  <si>
    <t>2025-147</t>
  </si>
  <si>
    <t>2025-148</t>
  </si>
  <si>
    <t>2025-149</t>
  </si>
  <si>
    <t>2025-150</t>
  </si>
  <si>
    <t>2025-151</t>
  </si>
  <si>
    <t>2025-152</t>
  </si>
  <si>
    <t>2025-153</t>
  </si>
  <si>
    <t>2025-154</t>
  </si>
  <si>
    <t>2025-155</t>
  </si>
  <si>
    <t>2025-156</t>
  </si>
  <si>
    <t>2025-157</t>
  </si>
  <si>
    <t>2025-158</t>
  </si>
  <si>
    <t>2025-159</t>
  </si>
  <si>
    <t>2025-160</t>
  </si>
  <si>
    <t>2025-161</t>
  </si>
  <si>
    <t>2025-162</t>
  </si>
  <si>
    <t>2025-163</t>
  </si>
  <si>
    <t>2025-164</t>
  </si>
  <si>
    <t>2025-165</t>
  </si>
  <si>
    <t>2025-166</t>
  </si>
  <si>
    <t>2025-167</t>
  </si>
  <si>
    <t>2025-168</t>
  </si>
  <si>
    <t>2025-169</t>
  </si>
  <si>
    <t>2025-170</t>
  </si>
  <si>
    <t>2025-171</t>
  </si>
  <si>
    <t>2025-172</t>
  </si>
  <si>
    <t>2025-173</t>
  </si>
  <si>
    <t>2025-174</t>
  </si>
  <si>
    <t>2025-175</t>
  </si>
  <si>
    <t>2025-176</t>
  </si>
  <si>
    <t>2025-177</t>
  </si>
  <si>
    <t>2025-178</t>
  </si>
  <si>
    <t>2025-179</t>
  </si>
  <si>
    <t>2025-180</t>
  </si>
  <si>
    <t>2025-181</t>
  </si>
  <si>
    <t>2025-182</t>
  </si>
  <si>
    <t>2025-183</t>
  </si>
  <si>
    <t>2025-184</t>
  </si>
  <si>
    <t>2025-185</t>
  </si>
  <si>
    <t>2025-186</t>
  </si>
  <si>
    <t>2025-187</t>
  </si>
  <si>
    <t>2025-188</t>
  </si>
  <si>
    <t>2025-189</t>
  </si>
  <si>
    <t>2025-190</t>
  </si>
  <si>
    <t>2025-191</t>
  </si>
  <si>
    <t>2025-192</t>
  </si>
  <si>
    <t>2025-193</t>
  </si>
  <si>
    <t>2025-194</t>
  </si>
  <si>
    <t>2025-195</t>
  </si>
  <si>
    <t>2025-196</t>
  </si>
  <si>
    <t>2025-197</t>
  </si>
  <si>
    <t>2025-198</t>
  </si>
  <si>
    <t>2025-199</t>
  </si>
  <si>
    <t>2025-200</t>
  </si>
  <si>
    <t>2025-201</t>
  </si>
  <si>
    <t>2025-202</t>
  </si>
  <si>
    <t>2025-203</t>
  </si>
  <si>
    <t>2025-204</t>
  </si>
  <si>
    <t>2025-205</t>
  </si>
  <si>
    <t>2025-206</t>
  </si>
  <si>
    <t>2025-207</t>
  </si>
  <si>
    <t>2025-208</t>
  </si>
  <si>
    <t>2025-209</t>
  </si>
  <si>
    <t>2025-210</t>
  </si>
  <si>
    <t>2025-211</t>
  </si>
  <si>
    <t>2025-212</t>
  </si>
  <si>
    <t>2025-213</t>
  </si>
  <si>
    <t>2025-214</t>
  </si>
  <si>
    <t>2025-215</t>
  </si>
  <si>
    <t>2025-216</t>
  </si>
  <si>
    <t>2025-217</t>
  </si>
  <si>
    <t>2025-218</t>
  </si>
  <si>
    <t>2025-219</t>
  </si>
  <si>
    <t>2025-220</t>
  </si>
  <si>
    <t>2025-221</t>
  </si>
  <si>
    <t>Taxes &amp; Salary</t>
  </si>
  <si>
    <t>Salary Maria</t>
  </si>
  <si>
    <t>Yearly Tax</t>
  </si>
  <si>
    <t>Salary Dimitra</t>
  </si>
  <si>
    <t>Salary Grandma</t>
  </si>
  <si>
    <t>May</t>
  </si>
  <si>
    <t>Utilities</t>
  </si>
  <si>
    <t>Platform Subscription</t>
  </si>
  <si>
    <t>DEI</t>
  </si>
  <si>
    <t>Vodafone</t>
  </si>
  <si>
    <t>Water Supply</t>
  </si>
  <si>
    <t>Cleaning &amp; Laundry</t>
  </si>
  <si>
    <t>Bedsheets</t>
  </si>
  <si>
    <t>Cleaning Staff</t>
  </si>
  <si>
    <t>Cleaning Supplies</t>
  </si>
  <si>
    <t>Maintenance</t>
  </si>
  <si>
    <t>Dehumidifiers</t>
  </si>
  <si>
    <t>New TV</t>
  </si>
  <si>
    <t>Mattresses</t>
  </si>
  <si>
    <t>Lamps</t>
  </si>
  <si>
    <t>Electric Stove</t>
  </si>
  <si>
    <t>Seat Cover, Brush Holder</t>
  </si>
  <si>
    <t>Petrol</t>
  </si>
  <si>
    <t>Household &amp; Miscellaneous</t>
  </si>
  <si>
    <t>New equipment (iron)</t>
  </si>
  <si>
    <t>Super Market</t>
  </si>
  <si>
    <t>New equipment(blinds)</t>
  </si>
  <si>
    <t>Miscellaneous</t>
  </si>
  <si>
    <t>Sponshorship</t>
  </si>
  <si>
    <t>Lunch/Dinner</t>
  </si>
  <si>
    <t>New equipment</t>
  </si>
  <si>
    <t>Lunch Austrians</t>
  </si>
  <si>
    <t>Fire Safety</t>
  </si>
  <si>
    <t>Disinfection</t>
  </si>
  <si>
    <t>Plumbing</t>
  </si>
  <si>
    <t>Electrician</t>
  </si>
  <si>
    <t>Gardening</t>
  </si>
  <si>
    <t>Benzin</t>
  </si>
  <si>
    <t>Date</t>
  </si>
  <si>
    <t>Main Category</t>
  </si>
  <si>
    <t>Description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</si>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</sst>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9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0" fontId="1" fillId="0" borderId="0" xfId="1"/>
    <xf numFmtId="1" fontId="0" fillId="0" borderId="0" xfId="0" applyNumberFormat="1"/>
    <xf numFmtId="49" fontId="1" fillId="2" borderId="0" xfId="1" applyNumberFormat="1" applyFill="1" applyBorder="1" applyAlignment="1">
      <alignment horizontal="center" vertical="center"/>
    </xf>
    <xf numFmtId="1" fontId="1" fillId="2" borderId="0" xfId="1" applyNumberFormat="1" applyFill="1" applyBorder="1" applyAlignment="1">
      <alignment horizontal="center" vertical="center"/>
    </xf>
    <xf numFmtId="0" fontId="1" fillId="2" borderId="0" xfId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4" fontId="1" fillId="0" borderId="0" xfId="1" applyNumberFormat="1" applyAlignment="1">
      <alignment horizontal="center"/>
    </xf>
    <xf numFmtId="49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4" fontId="1" fillId="0" borderId="0" xfId="1" applyNumberFormat="1" applyAlignment="1">
      <alignment horizontal="center" vertical="center"/>
    </xf>
    <xf numFmtId="49" fontId="1" fillId="0" borderId="0" xfId="1" applyNumberFormat="1" applyAlignment="1">
      <alignment horizontal="center" vertical="center"/>
    </xf>
    <xf numFmtId="2" fontId="1" fillId="0" borderId="0" xfId="1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1" fillId="0" borderId="0" xfId="1" applyNumberFormat="1" applyAlignment="1">
      <alignment horizontal="center"/>
    </xf>
    <xf numFmtId="0" fontId="1" fillId="0" borderId="0" xfId="1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Heading 4" xfId="1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E567D-1E86-4848-A256-852C0B7DDAB7}">
  <dimension ref="A1:E189"/>
  <sheetViews>
    <sheetView tabSelected="1" zoomScaleNormal="100" workbookViewId="0">
      <selection activeCell="J12" sqref="J12"/>
    </sheetView>
  </sheetViews>
  <sheetFormatPr defaultRowHeight="15" x14ac:dyDescent="0.25"/>
  <cols>
    <col min="1" max="1" width="8.5703125" bestFit="1" customWidth="1"/>
    <col min="2" max="2" width="4.42578125" bestFit="1" customWidth="1"/>
    <col min="3" max="3" width="13.85546875" customWidth="1"/>
    <col min="4" max="4" width="11.42578125" bestFit="1" customWidth="1"/>
    <col min="5" max="5" width="15.5703125" bestFit="1" customWidth="1"/>
  </cols>
  <sheetData>
    <row r="1" spans="1:5" x14ac:dyDescent="0.25">
      <c r="A1" s="6" t="s">
        <v>0</v>
      </c>
      <c r="B1" s="7" t="s">
        <v>1</v>
      </c>
      <c r="C1" s="8" t="s">
        <v>2</v>
      </c>
      <c r="D1" s="6" t="s">
        <v>3</v>
      </c>
      <c r="E1" s="6" t="s">
        <v>4</v>
      </c>
    </row>
    <row r="2" spans="1:5" x14ac:dyDescent="0.25">
      <c r="A2" s="9" t="s">
        <v>5</v>
      </c>
      <c r="B2" s="10">
        <v>59</v>
      </c>
      <c r="C2" s="11" t="str" cm="1">
        <f t="array" ref="C2">_xlfn.IFS(AND(B2&gt;18,B2&lt;=30),"18-30",AND(B2&gt;30,B2&lt;=50),"31-50",B2&gt;50,"51 plus",TRUE,"")</f>
        <v>51 plus</v>
      </c>
      <c r="D2" s="9" t="s">
        <v>6</v>
      </c>
      <c r="E2" s="9" t="s">
        <v>7</v>
      </c>
    </row>
    <row r="3" spans="1:5" x14ac:dyDescent="0.25">
      <c r="A3" s="12" t="s">
        <v>8</v>
      </c>
      <c r="B3" s="13">
        <v>37</v>
      </c>
      <c r="C3" s="14" t="str" cm="1">
        <f t="array" ref="C3">_xlfn.IFS(AND(B3&gt;18,B3&lt;=30),"18-30",AND(B3&gt;30,B3&lt;=50),"31-50",B3&gt;50,"51 plus",TRUE,"")</f>
        <v>31-50</v>
      </c>
      <c r="D3" s="12" t="s">
        <v>9</v>
      </c>
      <c r="E3" s="12" t="s">
        <v>10</v>
      </c>
    </row>
    <row r="4" spans="1:5" x14ac:dyDescent="0.25">
      <c r="A4" s="9" t="s">
        <v>11</v>
      </c>
      <c r="B4" s="10">
        <v>56</v>
      </c>
      <c r="C4" s="11" t="str" cm="1">
        <f t="array" ref="C4">_xlfn.IFS(AND(B4&gt;18,B4&lt;=30),"18-30",AND(B4&gt;30,B4&lt;=50),"31-50",B4&gt;50,"51 plus",TRUE,"")</f>
        <v>51 plus</v>
      </c>
      <c r="D4" s="9" t="s">
        <v>6</v>
      </c>
      <c r="E4" s="9" t="s">
        <v>10</v>
      </c>
    </row>
    <row r="5" spans="1:5" x14ac:dyDescent="0.25">
      <c r="A5" s="12" t="s">
        <v>12</v>
      </c>
      <c r="B5" s="13">
        <v>34</v>
      </c>
      <c r="C5" s="14" t="str" cm="1">
        <f t="array" ref="C5">_xlfn.IFS(AND(B5&gt;18,B5&lt;=30),"18-30",AND(B5&gt;30,B5&lt;=50),"31-50",B5&gt;50,"51 plus",TRUE,"")</f>
        <v>31-50</v>
      </c>
      <c r="D5" s="12" t="s">
        <v>6</v>
      </c>
      <c r="E5" s="12" t="s">
        <v>10</v>
      </c>
    </row>
    <row r="6" spans="1:5" x14ac:dyDescent="0.25">
      <c r="A6" s="9" t="s">
        <v>13</v>
      </c>
      <c r="B6" s="10">
        <v>57</v>
      </c>
      <c r="C6" s="11" t="str" cm="1">
        <f t="array" ref="C6">_xlfn.IFS(AND(B6&gt;18,B6&lt;=30),"18-30",AND(B6&gt;30,B6&lt;=50),"31-50",B6&gt;50,"51 plus",TRUE,"")</f>
        <v>51 plus</v>
      </c>
      <c r="D6" s="9" t="s">
        <v>9</v>
      </c>
      <c r="E6" s="9" t="s">
        <v>10</v>
      </c>
    </row>
    <row r="7" spans="1:5" x14ac:dyDescent="0.25">
      <c r="A7" s="12" t="s">
        <v>14</v>
      </c>
      <c r="B7" s="13">
        <v>54</v>
      </c>
      <c r="C7" s="14" t="str" cm="1">
        <f t="array" ref="C7">_xlfn.IFS(AND(B7&gt;18,B7&lt;=30),"18-30",AND(B7&gt;30,B7&lt;=50),"31-50",B7&gt;50,"51 plus",TRUE,"")</f>
        <v>51 plus</v>
      </c>
      <c r="D7" s="12" t="s">
        <v>6</v>
      </c>
      <c r="E7" s="12" t="s">
        <v>10</v>
      </c>
    </row>
    <row r="8" spans="1:5" x14ac:dyDescent="0.25">
      <c r="A8" s="9" t="s">
        <v>15</v>
      </c>
      <c r="B8" s="10">
        <v>48</v>
      </c>
      <c r="C8" s="11" t="str" cm="1">
        <f t="array" ref="C8">_xlfn.IFS(AND(B8&gt;18,B8&lt;=30),"18-30",AND(B8&gt;30,B8&lt;=50),"31-50",B8&gt;50,"51 plus",TRUE,"")</f>
        <v>31-50</v>
      </c>
      <c r="D8" s="9" t="s">
        <v>6</v>
      </c>
      <c r="E8" s="9" t="s">
        <v>10</v>
      </c>
    </row>
    <row r="9" spans="1:5" x14ac:dyDescent="0.25">
      <c r="A9" s="12" t="s">
        <v>16</v>
      </c>
      <c r="B9" s="13">
        <v>42</v>
      </c>
      <c r="C9" s="14" t="str" cm="1">
        <f t="array" ref="C9">_xlfn.IFS(AND(B9&gt;18,B9&lt;=30),"18-30",AND(B9&gt;30,B9&lt;=50),"31-50",B9&gt;50,"51 plus",TRUE,"")</f>
        <v>31-50</v>
      </c>
      <c r="D9" s="12" t="s">
        <v>6</v>
      </c>
      <c r="E9" s="12" t="s">
        <v>10</v>
      </c>
    </row>
    <row r="10" spans="1:5" x14ac:dyDescent="0.25">
      <c r="A10" s="9" t="s">
        <v>17</v>
      </c>
      <c r="B10" s="10">
        <v>58</v>
      </c>
      <c r="C10" s="11" t="str" cm="1">
        <f t="array" ref="C10">_xlfn.IFS(AND(B10&gt;18,B10&lt;=30),"18-30",AND(B10&gt;30,B10&lt;=50),"31-50",B10&gt;50,"51 plus",TRUE,"")</f>
        <v>51 plus</v>
      </c>
      <c r="D10" s="9" t="s">
        <v>6</v>
      </c>
      <c r="E10" s="9" t="s">
        <v>10</v>
      </c>
    </row>
    <row r="11" spans="1:5" x14ac:dyDescent="0.25">
      <c r="A11" s="12" t="s">
        <v>18</v>
      </c>
      <c r="B11" s="13">
        <v>50</v>
      </c>
      <c r="C11" s="14" t="str" cm="1">
        <f t="array" ref="C11">_xlfn.IFS(AND(B11&gt;18,B11&lt;=30),"18-30",AND(B11&gt;30,B11&lt;=50),"31-50",B11&gt;50,"51 plus",TRUE,"")</f>
        <v>31-50</v>
      </c>
      <c r="D11" s="12" t="s">
        <v>6</v>
      </c>
      <c r="E11" s="12" t="s">
        <v>10</v>
      </c>
    </row>
    <row r="12" spans="1:5" x14ac:dyDescent="0.25">
      <c r="A12" s="9" t="s">
        <v>19</v>
      </c>
      <c r="B12" s="10">
        <v>78</v>
      </c>
      <c r="C12" s="11" t="str" cm="1">
        <f t="array" ref="C12">_xlfn.IFS(AND(B12&gt;18,B12&lt;=30),"18-30",AND(B12&gt;30,B12&lt;=50),"31-50",B12&gt;50,"51 plus",TRUE,"")</f>
        <v>51 plus</v>
      </c>
      <c r="D12" s="9" t="s">
        <v>20</v>
      </c>
      <c r="E12" s="9" t="s">
        <v>10</v>
      </c>
    </row>
    <row r="13" spans="1:5" x14ac:dyDescent="0.25">
      <c r="A13" s="12" t="s">
        <v>21</v>
      </c>
      <c r="B13" s="13">
        <v>25</v>
      </c>
      <c r="C13" s="14" t="str" cm="1">
        <f t="array" ref="C13">_xlfn.IFS(AND(B13&gt;18,B13&lt;=30),"18-30",AND(B13&gt;30,B13&lt;=50),"31-50",B13&gt;50,"51 plus",TRUE,"")</f>
        <v>18-30</v>
      </c>
      <c r="D13" s="12" t="s">
        <v>6</v>
      </c>
      <c r="E13" s="12" t="s">
        <v>7</v>
      </c>
    </row>
    <row r="14" spans="1:5" x14ac:dyDescent="0.25">
      <c r="A14" s="9" t="s">
        <v>22</v>
      </c>
      <c r="B14" s="10">
        <v>33</v>
      </c>
      <c r="C14" s="11" t="str" cm="1">
        <f t="array" ref="C14">_xlfn.IFS(AND(B14&gt;18,B14&lt;=30),"18-30",AND(B14&gt;30,B14&lt;=50),"31-50",B14&gt;50,"51 plus",TRUE,"")</f>
        <v>31-50</v>
      </c>
      <c r="D14" s="9" t="s">
        <v>20</v>
      </c>
      <c r="E14" s="9" t="s">
        <v>10</v>
      </c>
    </row>
    <row r="15" spans="1:5" x14ac:dyDescent="0.25">
      <c r="A15" s="12" t="s">
        <v>23</v>
      </c>
      <c r="B15" s="13">
        <v>49</v>
      </c>
      <c r="C15" s="14" t="str" cm="1">
        <f t="array" ref="C15">_xlfn.IFS(AND(B15&gt;18,B15&lt;=30),"18-30",AND(B15&gt;30,B15&lt;=50),"31-50",B15&gt;50,"51 plus",TRUE,"")</f>
        <v>31-50</v>
      </c>
      <c r="D15" s="12" t="s">
        <v>6</v>
      </c>
      <c r="E15" s="12" t="s">
        <v>10</v>
      </c>
    </row>
    <row r="16" spans="1:5" x14ac:dyDescent="0.25">
      <c r="A16" s="9" t="s">
        <v>24</v>
      </c>
      <c r="B16" s="10">
        <v>62</v>
      </c>
      <c r="C16" s="11" t="str" cm="1">
        <f t="array" ref="C16">_xlfn.IFS(AND(B16&gt;18,B16&lt;=30),"18-30",AND(B16&gt;30,B16&lt;=50),"31-50",B16&gt;50,"51 plus",TRUE,"")</f>
        <v>51 plus</v>
      </c>
      <c r="D16" s="9" t="s">
        <v>20</v>
      </c>
      <c r="E16" s="9" t="s">
        <v>10</v>
      </c>
    </row>
    <row r="17" spans="1:5" x14ac:dyDescent="0.25">
      <c r="A17" s="12" t="s">
        <v>25</v>
      </c>
      <c r="B17" s="13">
        <v>74</v>
      </c>
      <c r="C17" s="14" t="str" cm="1">
        <f t="array" ref="C17">_xlfn.IFS(AND(B17&gt;18,B17&lt;=30),"18-30",AND(B17&gt;30,B17&lt;=50),"31-50",B17&gt;50,"51 plus",TRUE,"")</f>
        <v>51 plus</v>
      </c>
      <c r="D17" s="12" t="s">
        <v>6</v>
      </c>
      <c r="E17" s="12" t="s">
        <v>10</v>
      </c>
    </row>
    <row r="18" spans="1:5" x14ac:dyDescent="0.25">
      <c r="A18" s="9" t="s">
        <v>26</v>
      </c>
      <c r="B18" s="10">
        <v>41</v>
      </c>
      <c r="C18" s="11" t="str" cm="1">
        <f t="array" ref="C18">_xlfn.IFS(AND(B18&gt;18,B18&lt;=30),"18-30",AND(B18&gt;30,B18&lt;=50),"31-50",B18&gt;50,"51 plus",TRUE,"")</f>
        <v>31-50</v>
      </c>
      <c r="D18" s="9" t="s">
        <v>6</v>
      </c>
      <c r="E18" s="9" t="s">
        <v>7</v>
      </c>
    </row>
    <row r="19" spans="1:5" x14ac:dyDescent="0.25">
      <c r="A19" s="12" t="s">
        <v>27</v>
      </c>
      <c r="B19" s="13">
        <v>58</v>
      </c>
      <c r="C19" s="14" t="str" cm="1">
        <f t="array" ref="C19">_xlfn.IFS(AND(B19&gt;18,B19&lt;=30),"18-30",AND(B19&gt;30,B19&lt;=50),"31-50",B19&gt;50,"51 plus",TRUE,"")</f>
        <v>51 plus</v>
      </c>
      <c r="D19" s="12" t="s">
        <v>28</v>
      </c>
      <c r="E19" s="12" t="s">
        <v>7</v>
      </c>
    </row>
    <row r="20" spans="1:5" x14ac:dyDescent="0.25">
      <c r="A20" s="9" t="s">
        <v>29</v>
      </c>
      <c r="B20" s="10">
        <v>56</v>
      </c>
      <c r="C20" s="11" t="str" cm="1">
        <f t="array" ref="C20">_xlfn.IFS(AND(B20&gt;18,B20&lt;=30),"18-30",AND(B20&gt;30,B20&lt;=50),"31-50",B20&gt;50,"51 plus",TRUE,"")</f>
        <v>51 plus</v>
      </c>
      <c r="D20" s="9" t="s">
        <v>28</v>
      </c>
      <c r="E20" s="9" t="s">
        <v>7</v>
      </c>
    </row>
    <row r="21" spans="1:5" x14ac:dyDescent="0.25">
      <c r="A21" s="12" t="s">
        <v>30</v>
      </c>
      <c r="B21" s="13">
        <v>60</v>
      </c>
      <c r="C21" s="14" t="str" cm="1">
        <f t="array" ref="C21">_xlfn.IFS(AND(B21&gt;18,B21&lt;=30),"18-30",AND(B21&gt;30,B21&lt;=50),"31-50",B21&gt;50,"51 plus",TRUE,"")</f>
        <v>51 plus</v>
      </c>
      <c r="D21" s="12" t="s">
        <v>28</v>
      </c>
      <c r="E21" s="12" t="s">
        <v>7</v>
      </c>
    </row>
    <row r="22" spans="1:5" x14ac:dyDescent="0.25">
      <c r="A22" s="9" t="s">
        <v>31</v>
      </c>
      <c r="B22" s="10">
        <v>47</v>
      </c>
      <c r="C22" s="11" t="str" cm="1">
        <f t="array" ref="C22">_xlfn.IFS(AND(B22&gt;18,B22&lt;=30),"18-30",AND(B22&gt;30,B22&lt;=50),"31-50",B22&gt;50,"51 plus",TRUE,"")</f>
        <v>31-50</v>
      </c>
      <c r="D22" s="9" t="s">
        <v>28</v>
      </c>
      <c r="E22" s="9" t="s">
        <v>7</v>
      </c>
    </row>
    <row r="23" spans="1:5" x14ac:dyDescent="0.25">
      <c r="A23" s="12" t="s">
        <v>32</v>
      </c>
      <c r="B23" s="13">
        <v>48</v>
      </c>
      <c r="C23" s="14" t="str" cm="1">
        <f t="array" ref="C23">_xlfn.IFS(AND(B23&gt;18,B23&lt;=30),"18-30",AND(B23&gt;30,B23&lt;=50),"31-50",B23&gt;50,"51 plus",TRUE,"")</f>
        <v>31-50</v>
      </c>
      <c r="D23" s="12" t="s">
        <v>6</v>
      </c>
      <c r="E23" s="12" t="s">
        <v>10</v>
      </c>
    </row>
    <row r="24" spans="1:5" x14ac:dyDescent="0.25">
      <c r="A24" s="9" t="s">
        <v>33</v>
      </c>
      <c r="B24" s="10">
        <v>59</v>
      </c>
      <c r="C24" s="11" t="str" cm="1">
        <f t="array" ref="C24">_xlfn.IFS(AND(B24&gt;18,B24&lt;=30),"18-30",AND(B24&gt;30,B24&lt;=50),"31-50",B24&gt;50,"51 plus",TRUE,"")</f>
        <v>51 plus</v>
      </c>
      <c r="D24" s="9" t="s">
        <v>6</v>
      </c>
      <c r="E24" s="9" t="s">
        <v>10</v>
      </c>
    </row>
    <row r="25" spans="1:5" x14ac:dyDescent="0.25">
      <c r="A25" s="12" t="s">
        <v>34</v>
      </c>
      <c r="B25" s="13">
        <v>62</v>
      </c>
      <c r="C25" s="14" t="str" cm="1">
        <f t="array" ref="C25">_xlfn.IFS(AND(B25&gt;18,B25&lt;=30),"18-30",AND(B25&gt;30,B25&lt;=50),"31-50",B25&gt;50,"51 plus",TRUE,"")</f>
        <v>51 plus</v>
      </c>
      <c r="D25" s="12" t="s">
        <v>6</v>
      </c>
      <c r="E25" s="12" t="s">
        <v>10</v>
      </c>
    </row>
    <row r="26" spans="1:5" x14ac:dyDescent="0.25">
      <c r="A26" s="9" t="s">
        <v>35</v>
      </c>
      <c r="B26" s="10">
        <v>50</v>
      </c>
      <c r="C26" s="11" t="str" cm="1">
        <f t="array" ref="C26">_xlfn.IFS(AND(B26&gt;18,B26&lt;=30),"18-30",AND(B26&gt;30,B26&lt;=50),"31-50",B26&gt;50,"51 plus",TRUE,"")</f>
        <v>31-50</v>
      </c>
      <c r="D26" s="9" t="s">
        <v>6</v>
      </c>
      <c r="E26" s="9" t="s">
        <v>10</v>
      </c>
    </row>
    <row r="27" spans="1:5" x14ac:dyDescent="0.25">
      <c r="A27" s="12" t="s">
        <v>36</v>
      </c>
      <c r="B27" s="13">
        <v>61</v>
      </c>
      <c r="C27" s="14" t="str" cm="1">
        <f t="array" ref="C27">_xlfn.IFS(AND(B27&gt;18,B27&lt;=30),"18-30",AND(B27&gt;30,B27&lt;=50),"31-50",B27&gt;50,"51 plus",TRUE,"")</f>
        <v>51 plus</v>
      </c>
      <c r="D27" s="12" t="s">
        <v>20</v>
      </c>
      <c r="E27" s="12" t="s">
        <v>10</v>
      </c>
    </row>
    <row r="28" spans="1:5" x14ac:dyDescent="0.25">
      <c r="A28" s="9" t="s">
        <v>37</v>
      </c>
      <c r="B28" s="10">
        <v>42</v>
      </c>
      <c r="C28" s="11" t="str" cm="1">
        <f t="array" ref="C28">_xlfn.IFS(AND(B28&gt;18,B28&lt;=30),"18-30",AND(B28&gt;30,B28&lt;=50),"31-50",B28&gt;50,"51 plus",TRUE,"")</f>
        <v>31-50</v>
      </c>
      <c r="D28" s="9" t="s">
        <v>6</v>
      </c>
      <c r="E28" s="9" t="s">
        <v>7</v>
      </c>
    </row>
    <row r="29" spans="1:5" x14ac:dyDescent="0.25">
      <c r="A29" s="12" t="s">
        <v>38</v>
      </c>
      <c r="B29" s="13">
        <v>47</v>
      </c>
      <c r="C29" s="14" t="str" cm="1">
        <f t="array" ref="C29">_xlfn.IFS(AND(B29&gt;18,B29&lt;=30),"18-30",AND(B29&gt;30,B29&lt;=50),"31-50",B29&gt;50,"51 plus",TRUE,"")</f>
        <v>31-50</v>
      </c>
      <c r="D29" s="12" t="s">
        <v>6</v>
      </c>
      <c r="E29" s="12" t="s">
        <v>10</v>
      </c>
    </row>
    <row r="30" spans="1:5" x14ac:dyDescent="0.25">
      <c r="A30" s="9" t="s">
        <v>39</v>
      </c>
      <c r="B30" s="10">
        <v>40</v>
      </c>
      <c r="C30" s="11" t="str" cm="1">
        <f t="array" ref="C30">_xlfn.IFS(AND(B30&gt;18,B30&lt;=30),"18-30",AND(B30&gt;30,B30&lt;=50),"31-50",B30&gt;50,"51 plus",TRUE,"")</f>
        <v>31-50</v>
      </c>
      <c r="D30" s="9" t="s">
        <v>40</v>
      </c>
      <c r="E30" s="9" t="s">
        <v>10</v>
      </c>
    </row>
    <row r="31" spans="1:5" x14ac:dyDescent="0.25">
      <c r="A31" s="12" t="s">
        <v>41</v>
      </c>
      <c r="B31" s="13">
        <v>68</v>
      </c>
      <c r="C31" s="14" t="str" cm="1">
        <f t="array" ref="C31">_xlfn.IFS(AND(B31&gt;18,B31&lt;=30),"18-30",AND(B31&gt;30,B31&lt;=50),"31-50",B31&gt;50,"51 plus",TRUE,"")</f>
        <v>51 plus</v>
      </c>
      <c r="D31" s="12" t="s">
        <v>42</v>
      </c>
      <c r="E31" s="12" t="s">
        <v>10</v>
      </c>
    </row>
    <row r="32" spans="1:5" x14ac:dyDescent="0.25">
      <c r="A32" s="9" t="s">
        <v>43</v>
      </c>
      <c r="B32" s="10">
        <v>30</v>
      </c>
      <c r="C32" s="11" t="str" cm="1">
        <f t="array" ref="C32">_xlfn.IFS(AND(B32&gt;18,B32&lt;=30),"18-30",AND(B32&gt;30,B32&lt;=50),"31-50",B32&gt;50,"51 plus",TRUE,"")</f>
        <v>18-30</v>
      </c>
      <c r="D32" s="9" t="s">
        <v>44</v>
      </c>
      <c r="E32" s="9" t="s">
        <v>10</v>
      </c>
    </row>
    <row r="33" spans="1:5" x14ac:dyDescent="0.25">
      <c r="A33" s="12" t="s">
        <v>45</v>
      </c>
      <c r="B33" s="13">
        <v>64</v>
      </c>
      <c r="C33" s="14" t="str" cm="1">
        <f t="array" ref="C33">_xlfn.IFS(AND(B33&gt;18,B33&lt;=30),"18-30",AND(B33&gt;30,B33&lt;=50),"31-50",B33&gt;50,"51 plus",TRUE,"")</f>
        <v>51 plus</v>
      </c>
      <c r="D33" s="12" t="s">
        <v>28</v>
      </c>
      <c r="E33" s="12" t="s">
        <v>7</v>
      </c>
    </row>
    <row r="34" spans="1:5" x14ac:dyDescent="0.25">
      <c r="A34" s="9" t="s">
        <v>46</v>
      </c>
      <c r="B34" s="10">
        <v>53</v>
      </c>
      <c r="C34" s="11" t="str" cm="1">
        <f t="array" ref="C34">_xlfn.IFS(AND(B34&gt;18,B34&lt;=30),"18-30",AND(B34&gt;30,B34&lt;=50),"31-50",B34&gt;50,"51 plus",TRUE,"")</f>
        <v>51 plus</v>
      </c>
      <c r="D34" s="9" t="s">
        <v>6</v>
      </c>
      <c r="E34" s="9" t="s">
        <v>7</v>
      </c>
    </row>
    <row r="35" spans="1:5" x14ac:dyDescent="0.25">
      <c r="A35" s="12" t="s">
        <v>47</v>
      </c>
      <c r="B35" s="13">
        <v>76</v>
      </c>
      <c r="C35" s="14" t="str" cm="1">
        <f t="array" ref="C35">_xlfn.IFS(AND(B35&gt;18,B35&lt;=30),"18-30",AND(B35&gt;30,B35&lt;=50),"31-50",B35&gt;50,"51 plus",TRUE,"")</f>
        <v>51 plus</v>
      </c>
      <c r="D35" s="12" t="s">
        <v>6</v>
      </c>
      <c r="E35" s="12" t="s">
        <v>10</v>
      </c>
    </row>
    <row r="36" spans="1:5" x14ac:dyDescent="0.25">
      <c r="A36" s="9" t="s">
        <v>48</v>
      </c>
      <c r="B36" s="10">
        <v>49</v>
      </c>
      <c r="C36" s="11" t="str" cm="1">
        <f t="array" ref="C36">_xlfn.IFS(AND(B36&gt;18,B36&lt;=30),"18-30",AND(B36&gt;30,B36&lt;=50),"31-50",B36&gt;50,"51 plus",TRUE,"")</f>
        <v>31-50</v>
      </c>
      <c r="D36" s="9" t="s">
        <v>28</v>
      </c>
      <c r="E36" s="9" t="s">
        <v>7</v>
      </c>
    </row>
    <row r="37" spans="1:5" x14ac:dyDescent="0.25">
      <c r="A37" s="12" t="s">
        <v>49</v>
      </c>
      <c r="B37" s="13">
        <v>27</v>
      </c>
      <c r="C37" s="14" t="str" cm="1">
        <f t="array" ref="C37">_xlfn.IFS(AND(B37&gt;18,B37&lt;=30),"18-30",AND(B37&gt;30,B37&lt;=50),"31-50",B37&gt;50,"51 plus",TRUE,"")</f>
        <v>18-30</v>
      </c>
      <c r="D37" s="12" t="s">
        <v>28</v>
      </c>
      <c r="E37" s="12" t="s">
        <v>7</v>
      </c>
    </row>
    <row r="38" spans="1:5" x14ac:dyDescent="0.25">
      <c r="A38" s="9" t="s">
        <v>50</v>
      </c>
      <c r="B38" s="10">
        <v>36</v>
      </c>
      <c r="C38" s="11" t="str" cm="1">
        <f t="array" ref="C38">_xlfn.IFS(AND(B38&gt;18,B38&lt;=30),"18-30",AND(B38&gt;30,B38&lt;=50),"31-50",B38&gt;50,"51 plus",TRUE,"")</f>
        <v>31-50</v>
      </c>
      <c r="D38" s="9" t="s">
        <v>20</v>
      </c>
      <c r="E38" s="9" t="s">
        <v>10</v>
      </c>
    </row>
    <row r="39" spans="1:5" x14ac:dyDescent="0.25">
      <c r="A39" s="12" t="s">
        <v>51</v>
      </c>
      <c r="B39" s="13">
        <v>42</v>
      </c>
      <c r="C39" s="14" t="str" cm="1">
        <f t="array" ref="C39">_xlfn.IFS(AND(B39&gt;18,B39&lt;=30),"18-30",AND(B39&gt;30,B39&lt;=50),"31-50",B39&gt;50,"51 plus",TRUE,"")</f>
        <v>31-50</v>
      </c>
      <c r="D39" s="12" t="s">
        <v>6</v>
      </c>
      <c r="E39" s="12" t="s">
        <v>7</v>
      </c>
    </row>
    <row r="40" spans="1:5" x14ac:dyDescent="0.25">
      <c r="A40" s="9" t="s">
        <v>52</v>
      </c>
      <c r="B40" s="10">
        <v>61</v>
      </c>
      <c r="C40" s="11" t="str" cm="1">
        <f t="array" ref="C40">_xlfn.IFS(AND(B40&gt;18,B40&lt;=30),"18-30",AND(B40&gt;30,B40&lt;=50),"31-50",B40&gt;50,"51 plus",TRUE,"")</f>
        <v>51 plus</v>
      </c>
      <c r="D40" s="9" t="s">
        <v>28</v>
      </c>
      <c r="E40" s="9" t="s">
        <v>7</v>
      </c>
    </row>
    <row r="41" spans="1:5" x14ac:dyDescent="0.25">
      <c r="A41" s="12" t="s">
        <v>53</v>
      </c>
      <c r="B41" s="13">
        <v>67</v>
      </c>
      <c r="C41" s="14" t="str" cm="1">
        <f t="array" ref="C41">_xlfn.IFS(AND(B41&gt;18,B41&lt;=30),"18-30",AND(B41&gt;30,B41&lt;=50),"31-50",B41&gt;50,"51 plus",TRUE,"")</f>
        <v>51 plus</v>
      </c>
      <c r="D41" s="12" t="s">
        <v>20</v>
      </c>
      <c r="E41" s="12" t="s">
        <v>10</v>
      </c>
    </row>
    <row r="42" spans="1:5" x14ac:dyDescent="0.25">
      <c r="A42" s="9" t="s">
        <v>54</v>
      </c>
      <c r="B42" s="10">
        <v>61</v>
      </c>
      <c r="C42" s="11" t="str" cm="1">
        <f t="array" ref="C42">_xlfn.IFS(AND(B42&gt;18,B42&lt;=30),"18-30",AND(B42&gt;30,B42&lt;=50),"31-50",B42&gt;50,"51 plus",TRUE,"")</f>
        <v>51 plus</v>
      </c>
      <c r="D42" s="9" t="s">
        <v>28</v>
      </c>
      <c r="E42" s="9" t="s">
        <v>10</v>
      </c>
    </row>
    <row r="43" spans="1:5" x14ac:dyDescent="0.25">
      <c r="A43" s="12" t="s">
        <v>55</v>
      </c>
      <c r="B43" s="13">
        <v>51</v>
      </c>
      <c r="C43" s="14" t="str" cm="1">
        <f t="array" ref="C43">_xlfn.IFS(AND(B43&gt;18,B43&lt;=30),"18-30",AND(B43&gt;30,B43&lt;=50),"31-50",B43&gt;50,"51 plus",TRUE,"")</f>
        <v>51 plus</v>
      </c>
      <c r="D43" s="12" t="s">
        <v>20</v>
      </c>
      <c r="E43" s="12" t="s">
        <v>10</v>
      </c>
    </row>
    <row r="44" spans="1:5" x14ac:dyDescent="0.25">
      <c r="A44" s="9" t="s">
        <v>56</v>
      </c>
      <c r="B44" s="10">
        <v>48</v>
      </c>
      <c r="C44" s="11" t="str" cm="1">
        <f t="array" ref="C44">_xlfn.IFS(AND(B44&gt;18,B44&lt;=30),"18-30",AND(B44&gt;30,B44&lt;=50),"31-50",B44&gt;50,"51 plus",TRUE,"")</f>
        <v>31-50</v>
      </c>
      <c r="D44" s="9" t="s">
        <v>20</v>
      </c>
      <c r="E44" s="9" t="s">
        <v>7</v>
      </c>
    </row>
    <row r="45" spans="1:5" x14ac:dyDescent="0.25">
      <c r="A45" s="12" t="s">
        <v>57</v>
      </c>
      <c r="B45" s="13">
        <v>53</v>
      </c>
      <c r="C45" s="14" t="str" cm="1">
        <f t="array" ref="C45">_xlfn.IFS(AND(B45&gt;18,B45&lt;=30),"18-30",AND(B45&gt;30,B45&lt;=50),"31-50",B45&gt;50,"51 plus",TRUE,"")</f>
        <v>51 plus</v>
      </c>
      <c r="D45" s="12" t="s">
        <v>20</v>
      </c>
      <c r="E45" s="12" t="s">
        <v>10</v>
      </c>
    </row>
    <row r="46" spans="1:5" x14ac:dyDescent="0.25">
      <c r="A46" s="9" t="s">
        <v>58</v>
      </c>
      <c r="B46" s="10">
        <v>59</v>
      </c>
      <c r="C46" s="11" t="str" cm="1">
        <f t="array" ref="C46">_xlfn.IFS(AND(B46&gt;18,B46&lt;=30),"18-30",AND(B46&gt;30,B46&lt;=50),"31-50",B46&gt;50,"51 plus",TRUE,"")</f>
        <v>51 plus</v>
      </c>
      <c r="D46" s="9" t="s">
        <v>20</v>
      </c>
      <c r="E46" s="9" t="s">
        <v>7</v>
      </c>
    </row>
    <row r="47" spans="1:5" x14ac:dyDescent="0.25">
      <c r="A47" s="12" t="s">
        <v>59</v>
      </c>
      <c r="B47" s="13">
        <v>66</v>
      </c>
      <c r="C47" s="14" t="str" cm="1">
        <f t="array" ref="C47">_xlfn.IFS(AND(B47&gt;18,B47&lt;=30),"18-30",AND(B47&gt;30,B47&lt;=50),"31-50",B47&gt;50,"51 plus",TRUE,"")</f>
        <v>51 plus</v>
      </c>
      <c r="D47" s="12" t="s">
        <v>6</v>
      </c>
      <c r="E47" s="12" t="s">
        <v>7</v>
      </c>
    </row>
    <row r="48" spans="1:5" x14ac:dyDescent="0.25">
      <c r="A48" s="9" t="s">
        <v>60</v>
      </c>
      <c r="B48" s="10">
        <v>36</v>
      </c>
      <c r="C48" s="11" t="str" cm="1">
        <f t="array" ref="C48">_xlfn.IFS(AND(B48&gt;18,B48&lt;=30),"18-30",AND(B48&gt;30,B48&lt;=50),"31-50",B48&gt;50,"51 plus",TRUE,"")</f>
        <v>31-50</v>
      </c>
      <c r="D48" s="9" t="s">
        <v>6</v>
      </c>
      <c r="E48" s="9" t="s">
        <v>7</v>
      </c>
    </row>
    <row r="49" spans="1:5" x14ac:dyDescent="0.25">
      <c r="A49" s="12" t="s">
        <v>61</v>
      </c>
      <c r="B49" s="13">
        <v>42</v>
      </c>
      <c r="C49" s="14" t="str" cm="1">
        <f t="array" ref="C49">_xlfn.IFS(AND(B49&gt;18,B49&lt;=30),"18-30",AND(B49&gt;30,B49&lt;=50),"31-50",B49&gt;50,"51 plus",TRUE,"")</f>
        <v>31-50</v>
      </c>
      <c r="D49" s="12" t="s">
        <v>28</v>
      </c>
      <c r="E49" s="12" t="s">
        <v>7</v>
      </c>
    </row>
    <row r="50" spans="1:5" x14ac:dyDescent="0.25">
      <c r="A50" s="9" t="s">
        <v>62</v>
      </c>
      <c r="B50" s="10">
        <v>36</v>
      </c>
      <c r="C50" s="11" t="str" cm="1">
        <f t="array" ref="C50">_xlfn.IFS(AND(B50&gt;18,B50&lt;=30),"18-30",AND(B50&gt;30,B50&lt;=50),"31-50",B50&gt;50,"51 plus",TRUE,"")</f>
        <v>31-50</v>
      </c>
      <c r="D50" s="9" t="s">
        <v>28</v>
      </c>
      <c r="E50" s="9" t="s">
        <v>7</v>
      </c>
    </row>
    <row r="51" spans="1:5" x14ac:dyDescent="0.25">
      <c r="A51" s="12" t="s">
        <v>63</v>
      </c>
      <c r="B51" s="13">
        <v>34</v>
      </c>
      <c r="C51" s="14" t="str" cm="1">
        <f t="array" ref="C51">_xlfn.IFS(AND(B51&gt;18,B51&lt;=30),"18-30",AND(B51&gt;30,B51&lt;=50),"31-50",B51&gt;50,"51 plus",TRUE,"")</f>
        <v>31-50</v>
      </c>
      <c r="D51" s="12" t="s">
        <v>20</v>
      </c>
      <c r="E51" s="12" t="s">
        <v>10</v>
      </c>
    </row>
    <row r="52" spans="1:5" x14ac:dyDescent="0.25">
      <c r="A52" s="9" t="s">
        <v>64</v>
      </c>
      <c r="B52" s="10">
        <v>51</v>
      </c>
      <c r="C52" s="11" t="str" cm="1">
        <f t="array" ref="C52">_xlfn.IFS(AND(B52&gt;18,B52&lt;=30),"18-30",AND(B52&gt;30,B52&lt;=50),"31-50",B52&gt;50,"51 plus",TRUE,"")</f>
        <v>51 plus</v>
      </c>
      <c r="D52" s="9" t="s">
        <v>28</v>
      </c>
      <c r="E52" s="9" t="s">
        <v>7</v>
      </c>
    </row>
    <row r="53" spans="1:5" x14ac:dyDescent="0.25">
      <c r="A53" s="12" t="s">
        <v>65</v>
      </c>
      <c r="B53" s="13"/>
      <c r="C53" s="14" t="str" cm="1">
        <f t="array" ref="C53">_xlfn.IFS(AND(B53&gt;18,B53&lt;=30),"18-30",AND(B53&gt;30,B53&lt;=50),"31-50",B53&gt;50,"51 plus",TRUE,"")</f>
        <v/>
      </c>
      <c r="D53" s="12" t="s">
        <v>28</v>
      </c>
      <c r="E53" s="12" t="s">
        <v>7</v>
      </c>
    </row>
    <row r="54" spans="1:5" x14ac:dyDescent="0.25">
      <c r="A54" s="9" t="s">
        <v>66</v>
      </c>
      <c r="B54" s="10">
        <v>75</v>
      </c>
      <c r="C54" s="11" t="str" cm="1">
        <f t="array" ref="C54">_xlfn.IFS(AND(B54&gt;18,B54&lt;=30),"18-30",AND(B54&gt;30,B54&lt;=50),"31-50",B54&gt;50,"51 plus",TRUE,"")</f>
        <v>51 plus</v>
      </c>
      <c r="D54" s="9" t="s">
        <v>28</v>
      </c>
      <c r="E54" s="9" t="s">
        <v>10</v>
      </c>
    </row>
    <row r="55" spans="1:5" x14ac:dyDescent="0.25">
      <c r="A55" s="12" t="s">
        <v>67</v>
      </c>
      <c r="B55" s="13">
        <v>62</v>
      </c>
      <c r="C55" s="14" t="str" cm="1">
        <f t="array" ref="C55">_xlfn.IFS(AND(B55&gt;18,B55&lt;=30),"18-30",AND(B55&gt;30,B55&lt;=50),"31-50",B55&gt;50,"51 plus",TRUE,"")</f>
        <v>51 plus</v>
      </c>
      <c r="D55" s="12" t="s">
        <v>28</v>
      </c>
      <c r="E55" s="12" t="s">
        <v>7</v>
      </c>
    </row>
    <row r="56" spans="1:5" x14ac:dyDescent="0.25">
      <c r="A56" s="9" t="s">
        <v>68</v>
      </c>
      <c r="B56" s="10">
        <v>42</v>
      </c>
      <c r="C56" s="11" t="str" cm="1">
        <f t="array" ref="C56">_xlfn.IFS(AND(B56&gt;18,B56&lt;=30),"18-30",AND(B56&gt;30,B56&lt;=50),"31-50",B56&gt;50,"51 plus",TRUE,"")</f>
        <v>31-50</v>
      </c>
      <c r="D56" s="9" t="s">
        <v>28</v>
      </c>
      <c r="E56" s="9" t="s">
        <v>7</v>
      </c>
    </row>
    <row r="57" spans="1:5" x14ac:dyDescent="0.25">
      <c r="A57" s="12" t="s">
        <v>69</v>
      </c>
      <c r="B57" s="13">
        <v>71</v>
      </c>
      <c r="C57" s="14" t="str" cm="1">
        <f t="array" ref="C57">_xlfn.IFS(AND(B57&gt;18,B57&lt;=30),"18-30",AND(B57&gt;30,B57&lt;=50),"31-50",B57&gt;50,"51 plus",TRUE,"")</f>
        <v>51 plus</v>
      </c>
      <c r="D57" s="12" t="s">
        <v>6</v>
      </c>
      <c r="E57" s="12" t="s">
        <v>10</v>
      </c>
    </row>
    <row r="58" spans="1:5" x14ac:dyDescent="0.25">
      <c r="A58" s="9" t="s">
        <v>70</v>
      </c>
      <c r="B58" s="10">
        <v>46</v>
      </c>
      <c r="C58" s="11" t="str" cm="1">
        <f t="array" ref="C58">_xlfn.IFS(AND(B58&gt;18,B58&lt;=30),"18-30",AND(B58&gt;30,B58&lt;=50),"31-50",B58&gt;50,"51 plus",TRUE,"")</f>
        <v>31-50</v>
      </c>
      <c r="D58" s="9" t="s">
        <v>28</v>
      </c>
      <c r="E58" s="9" t="s">
        <v>7</v>
      </c>
    </row>
    <row r="59" spans="1:5" x14ac:dyDescent="0.25">
      <c r="A59" s="12" t="s">
        <v>71</v>
      </c>
      <c r="B59" s="13"/>
      <c r="C59" s="14" t="str" cm="1">
        <f t="array" ref="C59">_xlfn.IFS(AND(B59&gt;18,B59&lt;=30),"18-30",AND(B59&gt;30,B59&lt;=50),"31-50",B59&gt;50,"51 plus",TRUE,"")</f>
        <v/>
      </c>
      <c r="D59" s="12" t="s">
        <v>28</v>
      </c>
      <c r="E59" s="12" t="s">
        <v>7</v>
      </c>
    </row>
    <row r="60" spans="1:5" x14ac:dyDescent="0.25">
      <c r="A60" s="9" t="s">
        <v>72</v>
      </c>
      <c r="B60" s="10">
        <v>67</v>
      </c>
      <c r="C60" s="11" t="str" cm="1">
        <f t="array" ref="C60">_xlfn.IFS(AND(B60&gt;18,B60&lt;=30),"18-30",AND(B60&gt;30,B60&lt;=50),"31-50",B60&gt;50,"51 plus",TRUE,"")</f>
        <v>51 plus</v>
      </c>
      <c r="D60" s="9" t="s">
        <v>28</v>
      </c>
      <c r="E60" s="9" t="s">
        <v>7</v>
      </c>
    </row>
    <row r="61" spans="1:5" x14ac:dyDescent="0.25">
      <c r="A61" s="12" t="s">
        <v>73</v>
      </c>
      <c r="B61" s="13">
        <v>61</v>
      </c>
      <c r="C61" s="14" t="str" cm="1">
        <f t="array" ref="C61">_xlfn.IFS(AND(B61&gt;18,B61&lt;=30),"18-30",AND(B61&gt;30,B61&lt;=50),"31-50",B61&gt;50,"51 plus",TRUE,"")</f>
        <v>51 plus</v>
      </c>
      <c r="D61" s="12" t="s">
        <v>20</v>
      </c>
      <c r="E61" s="12" t="s">
        <v>10</v>
      </c>
    </row>
    <row r="62" spans="1:5" x14ac:dyDescent="0.25">
      <c r="A62" s="9" t="s">
        <v>74</v>
      </c>
      <c r="B62" s="10"/>
      <c r="C62" s="11" t="str" cm="1">
        <f t="array" ref="C62">_xlfn.IFS(AND(B62&gt;18,B62&lt;=30),"18-30",AND(B62&gt;30,B62&lt;=50),"31-50",B62&gt;50,"51 plus",TRUE,"")</f>
        <v/>
      </c>
      <c r="D62" s="9" t="s">
        <v>28</v>
      </c>
      <c r="E62" s="9" t="s">
        <v>7</v>
      </c>
    </row>
    <row r="63" spans="1:5" x14ac:dyDescent="0.25">
      <c r="A63" s="12" t="s">
        <v>75</v>
      </c>
      <c r="B63" s="13">
        <v>43</v>
      </c>
      <c r="C63" s="14" t="str" cm="1">
        <f t="array" ref="C63">_xlfn.IFS(AND(B63&gt;18,B63&lt;=30),"18-30",AND(B63&gt;30,B63&lt;=50),"31-50",B63&gt;50,"51 plus",TRUE,"")</f>
        <v>31-50</v>
      </c>
      <c r="D63" s="12" t="s">
        <v>6</v>
      </c>
      <c r="E63" s="12" t="s">
        <v>7</v>
      </c>
    </row>
    <row r="64" spans="1:5" x14ac:dyDescent="0.25">
      <c r="A64" s="9" t="s">
        <v>76</v>
      </c>
      <c r="B64" s="10">
        <v>58</v>
      </c>
      <c r="C64" s="11" t="str" cm="1">
        <f t="array" ref="C64">_xlfn.IFS(AND(B64&gt;18,B64&lt;=30),"18-30",AND(B64&gt;30,B64&lt;=50),"31-50",B64&gt;50,"51 plus",TRUE,"")</f>
        <v>51 plus</v>
      </c>
      <c r="D64" s="9" t="s">
        <v>28</v>
      </c>
      <c r="E64" s="9" t="s">
        <v>10</v>
      </c>
    </row>
    <row r="65" spans="1:5" x14ac:dyDescent="0.25">
      <c r="A65" s="12" t="s">
        <v>77</v>
      </c>
      <c r="B65" s="13"/>
      <c r="C65" s="14" t="str" cm="1">
        <f t="array" ref="C65">_xlfn.IFS(AND(B65&gt;18,B65&lt;=30),"18-30",AND(B65&gt;30,B65&lt;=50),"31-50",B65&gt;50,"51 plus",TRUE,"")</f>
        <v/>
      </c>
      <c r="D65" s="12" t="s">
        <v>28</v>
      </c>
      <c r="E65" s="12" t="s">
        <v>7</v>
      </c>
    </row>
    <row r="66" spans="1:5" x14ac:dyDescent="0.25">
      <c r="A66" s="9" t="s">
        <v>78</v>
      </c>
      <c r="B66" s="10">
        <v>67</v>
      </c>
      <c r="C66" s="11" t="str" cm="1">
        <f t="array" ref="C66">_xlfn.IFS(AND(B66&gt;18,B66&lt;=30),"18-30",AND(B66&gt;30,B66&lt;=50),"31-50",B66&gt;50,"51 plus",TRUE,"")</f>
        <v>51 plus</v>
      </c>
      <c r="D66" s="9" t="s">
        <v>6</v>
      </c>
      <c r="E66" s="9" t="s">
        <v>10</v>
      </c>
    </row>
    <row r="67" spans="1:5" x14ac:dyDescent="0.25">
      <c r="A67" s="12" t="s">
        <v>79</v>
      </c>
      <c r="B67" s="13">
        <v>50</v>
      </c>
      <c r="C67" s="14" t="str" cm="1">
        <f t="array" ref="C67">_xlfn.IFS(AND(B67&gt;18,B67&lt;=30),"18-30",AND(B67&gt;30,B67&lt;=50),"31-50",B67&gt;50,"51 plus",TRUE,"")</f>
        <v>31-50</v>
      </c>
      <c r="D67" s="12" t="s">
        <v>28</v>
      </c>
      <c r="E67" s="12" t="s">
        <v>10</v>
      </c>
    </row>
    <row r="68" spans="1:5" x14ac:dyDescent="0.25">
      <c r="A68" s="9" t="s">
        <v>80</v>
      </c>
      <c r="B68" s="10">
        <v>52</v>
      </c>
      <c r="C68" s="11" t="str" cm="1">
        <f t="array" ref="C68">_xlfn.IFS(AND(B68&gt;18,B68&lt;=30),"18-30",AND(B68&gt;30,B68&lt;=50),"31-50",B68&gt;50,"51 plus",TRUE,"")</f>
        <v>51 plus</v>
      </c>
      <c r="D68" s="9" t="s">
        <v>20</v>
      </c>
      <c r="E68" s="9" t="s">
        <v>10</v>
      </c>
    </row>
    <row r="69" spans="1:5" x14ac:dyDescent="0.25">
      <c r="A69" s="12" t="s">
        <v>81</v>
      </c>
      <c r="B69" s="13">
        <v>51</v>
      </c>
      <c r="C69" s="14" t="str" cm="1">
        <f t="array" ref="C69">_xlfn.IFS(AND(B69&gt;18,B69&lt;=30),"18-30",AND(B69&gt;30,B69&lt;=50),"31-50",B69&gt;50,"51 plus",TRUE,"")</f>
        <v>51 plus</v>
      </c>
      <c r="D69" s="12" t="s">
        <v>28</v>
      </c>
      <c r="E69" s="12" t="s">
        <v>10</v>
      </c>
    </row>
    <row r="70" spans="1:5" x14ac:dyDescent="0.25">
      <c r="A70" s="9" t="s">
        <v>82</v>
      </c>
      <c r="B70" s="10">
        <v>46</v>
      </c>
      <c r="C70" s="11" t="str" cm="1">
        <f t="array" ref="C70">_xlfn.IFS(AND(B70&gt;18,B70&lt;=30),"18-30",AND(B70&gt;30,B70&lt;=50),"31-50",B70&gt;50,"51 plus",TRUE,"")</f>
        <v>31-50</v>
      </c>
      <c r="D70" s="9" t="s">
        <v>28</v>
      </c>
      <c r="E70" s="9" t="s">
        <v>7</v>
      </c>
    </row>
    <row r="71" spans="1:5" x14ac:dyDescent="0.25">
      <c r="A71" s="12" t="s">
        <v>83</v>
      </c>
      <c r="B71" s="13">
        <v>74</v>
      </c>
      <c r="C71" s="14" t="str" cm="1">
        <f t="array" ref="C71">_xlfn.IFS(AND(B71&gt;18,B71&lt;=30),"18-30",AND(B71&gt;30,B71&lt;=50),"31-50",B71&gt;50,"51 plus",TRUE,"")</f>
        <v>51 plus</v>
      </c>
      <c r="D71" s="12" t="s">
        <v>28</v>
      </c>
      <c r="E71" s="12" t="s">
        <v>10</v>
      </c>
    </row>
    <row r="72" spans="1:5" x14ac:dyDescent="0.25">
      <c r="A72" s="9" t="s">
        <v>84</v>
      </c>
      <c r="B72" s="10">
        <v>69</v>
      </c>
      <c r="C72" s="11" t="str" cm="1">
        <f t="array" ref="C72">_xlfn.IFS(AND(B72&gt;18,B72&lt;=30),"18-30",AND(B72&gt;30,B72&lt;=50),"31-50",B72&gt;50,"51 plus",TRUE,"")</f>
        <v>51 plus</v>
      </c>
      <c r="D72" s="9" t="s">
        <v>28</v>
      </c>
      <c r="E72" s="9" t="s">
        <v>10</v>
      </c>
    </row>
    <row r="73" spans="1:5" x14ac:dyDescent="0.25">
      <c r="A73" s="12" t="s">
        <v>85</v>
      </c>
      <c r="B73" s="13">
        <v>34</v>
      </c>
      <c r="C73" s="14" t="str" cm="1">
        <f t="array" ref="C73">_xlfn.IFS(AND(B73&gt;18,B73&lt;=30),"18-30",AND(B73&gt;30,B73&lt;=50),"31-50",B73&gt;50,"51 plus",TRUE,"")</f>
        <v>31-50</v>
      </c>
      <c r="D73" s="12" t="s">
        <v>6</v>
      </c>
      <c r="E73" s="12" t="s">
        <v>10</v>
      </c>
    </row>
    <row r="74" spans="1:5" x14ac:dyDescent="0.25">
      <c r="A74" s="9" t="s">
        <v>86</v>
      </c>
      <c r="B74" s="10">
        <v>53</v>
      </c>
      <c r="C74" s="11" t="str" cm="1">
        <f t="array" ref="C74">_xlfn.IFS(AND(B74&gt;18,B74&lt;=30),"18-30",AND(B74&gt;30,B74&lt;=50),"31-50",B74&gt;50,"51 plus",TRUE,"")</f>
        <v>51 plus</v>
      </c>
      <c r="D74" s="9" t="s">
        <v>20</v>
      </c>
      <c r="E74" s="9" t="s">
        <v>7</v>
      </c>
    </row>
    <row r="75" spans="1:5" x14ac:dyDescent="0.25">
      <c r="A75" s="12" t="s">
        <v>87</v>
      </c>
      <c r="B75" s="13">
        <v>62</v>
      </c>
      <c r="C75" s="14" t="str" cm="1">
        <f t="array" ref="C75">_xlfn.IFS(AND(B75&gt;18,B75&lt;=30),"18-30",AND(B75&gt;30,B75&lt;=50),"31-50",B75&gt;50,"51 plus",TRUE,"")</f>
        <v>51 plus</v>
      </c>
      <c r="D75" s="12" t="s">
        <v>6</v>
      </c>
      <c r="E75" s="12" t="s">
        <v>10</v>
      </c>
    </row>
    <row r="76" spans="1:5" x14ac:dyDescent="0.25">
      <c r="A76" s="9" t="s">
        <v>88</v>
      </c>
      <c r="B76" s="10">
        <v>31</v>
      </c>
      <c r="C76" s="11" t="str" cm="1">
        <f t="array" ref="C76">_xlfn.IFS(AND(B76&gt;18,B76&lt;=30),"18-30",AND(B76&gt;30,B76&lt;=50),"31-50",B76&gt;50,"51 plus",TRUE,"")</f>
        <v>31-50</v>
      </c>
      <c r="D76" s="9" t="s">
        <v>6</v>
      </c>
      <c r="E76" s="9" t="s">
        <v>7</v>
      </c>
    </row>
    <row r="77" spans="1:5" x14ac:dyDescent="0.25">
      <c r="A77" s="12" t="s">
        <v>89</v>
      </c>
      <c r="B77" s="13">
        <v>42</v>
      </c>
      <c r="C77" s="14" t="str" cm="1">
        <f t="array" ref="C77">_xlfn.IFS(AND(B77&gt;18,B77&lt;=30),"18-30",AND(B77&gt;30,B77&lt;=50),"31-50",B77&gt;50,"51 plus",TRUE,"")</f>
        <v>31-50</v>
      </c>
      <c r="D77" s="12" t="s">
        <v>28</v>
      </c>
      <c r="E77" s="12" t="s">
        <v>10</v>
      </c>
    </row>
    <row r="78" spans="1:5" x14ac:dyDescent="0.25">
      <c r="A78" s="9" t="s">
        <v>90</v>
      </c>
      <c r="B78" s="10">
        <v>74</v>
      </c>
      <c r="C78" s="11" t="str" cm="1">
        <f t="array" ref="C78">_xlfn.IFS(AND(B78&gt;18,B78&lt;=30),"18-30",AND(B78&gt;30,B78&lt;=50),"31-50",B78&gt;50,"51 plus",TRUE,"")</f>
        <v>51 plus</v>
      </c>
      <c r="D78" s="9" t="s">
        <v>28</v>
      </c>
      <c r="E78" s="9" t="s">
        <v>7</v>
      </c>
    </row>
    <row r="79" spans="1:5" x14ac:dyDescent="0.25">
      <c r="A79" s="12" t="s">
        <v>91</v>
      </c>
      <c r="B79" s="13">
        <v>26</v>
      </c>
      <c r="C79" s="14" t="str" cm="1">
        <f t="array" ref="C79">_xlfn.IFS(AND(B79&gt;18,B79&lt;=30),"18-30",AND(B79&gt;30,B79&lt;=50),"31-50",B79&gt;50,"51 plus",TRUE,"")</f>
        <v>18-30</v>
      </c>
      <c r="D79" s="12" t="s">
        <v>20</v>
      </c>
      <c r="E79" s="12" t="s">
        <v>10</v>
      </c>
    </row>
    <row r="80" spans="1:5" x14ac:dyDescent="0.25">
      <c r="A80" s="9" t="s">
        <v>92</v>
      </c>
      <c r="B80" s="10">
        <v>55</v>
      </c>
      <c r="C80" s="11" t="str" cm="1">
        <f t="array" ref="C80">_xlfn.IFS(AND(B80&gt;18,B80&lt;=30),"18-30",AND(B80&gt;30,B80&lt;=50),"31-50",B80&gt;50,"51 plus",TRUE,"")</f>
        <v>51 plus</v>
      </c>
      <c r="D80" s="9" t="s">
        <v>20</v>
      </c>
      <c r="E80" s="9" t="s">
        <v>10</v>
      </c>
    </row>
    <row r="81" spans="1:5" x14ac:dyDescent="0.25">
      <c r="A81" s="12" t="s">
        <v>93</v>
      </c>
      <c r="B81" s="13">
        <v>45</v>
      </c>
      <c r="C81" s="14" t="str" cm="1">
        <f t="array" ref="C81">_xlfn.IFS(AND(B81&gt;18,B81&lt;=30),"18-30",AND(B81&gt;30,B81&lt;=50),"31-50",B81&gt;50,"51 plus",TRUE,"")</f>
        <v>31-50</v>
      </c>
      <c r="D81" s="12" t="s">
        <v>28</v>
      </c>
      <c r="E81" s="12" t="s">
        <v>7</v>
      </c>
    </row>
    <row r="82" spans="1:5" x14ac:dyDescent="0.25">
      <c r="A82" s="9" t="s">
        <v>94</v>
      </c>
      <c r="B82" s="10">
        <v>43</v>
      </c>
      <c r="C82" s="11" t="str" cm="1">
        <f t="array" ref="C82">_xlfn.IFS(AND(B82&gt;18,B82&lt;=30),"18-30",AND(B82&gt;30,B82&lt;=50),"31-50",B82&gt;50,"51 plus",TRUE,"")</f>
        <v>31-50</v>
      </c>
      <c r="D82" s="9" t="s">
        <v>28</v>
      </c>
      <c r="E82" s="9" t="s">
        <v>7</v>
      </c>
    </row>
    <row r="83" spans="1:5" x14ac:dyDescent="0.25">
      <c r="A83" s="12" t="s">
        <v>95</v>
      </c>
      <c r="B83" s="13">
        <v>33</v>
      </c>
      <c r="C83" s="14" t="str" cm="1">
        <f t="array" ref="C83">_xlfn.IFS(AND(B83&gt;18,B83&lt;=30),"18-30",AND(B83&gt;30,B83&lt;=50),"31-50",B83&gt;50,"51 plus",TRUE,"")</f>
        <v>31-50</v>
      </c>
      <c r="D83" s="12" t="s">
        <v>6</v>
      </c>
      <c r="E83" s="12" t="s">
        <v>7</v>
      </c>
    </row>
    <row r="84" spans="1:5" x14ac:dyDescent="0.25">
      <c r="A84" s="9" t="s">
        <v>96</v>
      </c>
      <c r="B84" s="10">
        <v>64</v>
      </c>
      <c r="C84" s="11" t="str" cm="1">
        <f t="array" ref="C84">_xlfn.IFS(AND(B84&gt;18,B84&lt;=30),"18-30",AND(B84&gt;30,B84&lt;=50),"31-50",B84&gt;50,"51 plus",TRUE,"")</f>
        <v>51 plus</v>
      </c>
      <c r="D84" s="9" t="s">
        <v>20</v>
      </c>
      <c r="E84" s="9" t="s">
        <v>7</v>
      </c>
    </row>
    <row r="85" spans="1:5" x14ac:dyDescent="0.25">
      <c r="A85" s="12" t="s">
        <v>97</v>
      </c>
      <c r="B85" s="13">
        <v>36</v>
      </c>
      <c r="C85" s="14" t="str" cm="1">
        <f t="array" ref="C85">_xlfn.IFS(AND(B85&gt;18,B85&lt;=30),"18-30",AND(B85&gt;30,B85&lt;=50),"31-50",B85&gt;50,"51 plus",TRUE,"")</f>
        <v>31-50</v>
      </c>
      <c r="D85" s="12" t="s">
        <v>6</v>
      </c>
      <c r="E85" s="12" t="s">
        <v>7</v>
      </c>
    </row>
    <row r="86" spans="1:5" x14ac:dyDescent="0.25">
      <c r="A86" s="9" t="s">
        <v>98</v>
      </c>
      <c r="B86" s="10">
        <v>33</v>
      </c>
      <c r="C86" s="11" t="str" cm="1">
        <f t="array" ref="C86">_xlfn.IFS(AND(B86&gt;18,B86&lt;=30),"18-30",AND(B86&gt;30,B86&lt;=50),"31-50",B86&gt;50,"51 plus",TRUE,"")</f>
        <v>31-50</v>
      </c>
      <c r="D86" s="9" t="s">
        <v>28</v>
      </c>
      <c r="E86" s="9" t="s">
        <v>7</v>
      </c>
    </row>
    <row r="87" spans="1:5" x14ac:dyDescent="0.25">
      <c r="A87" s="12" t="s">
        <v>99</v>
      </c>
      <c r="B87" s="13">
        <v>53</v>
      </c>
      <c r="C87" s="14" t="str" cm="1">
        <f t="array" ref="C87">_xlfn.IFS(AND(B87&gt;18,B87&lt;=30),"18-30",AND(B87&gt;30,B87&lt;=50),"31-50",B87&gt;50,"51 plus",TRUE,"")</f>
        <v>51 plus</v>
      </c>
      <c r="D87" s="12" t="s">
        <v>20</v>
      </c>
      <c r="E87" s="12" t="s">
        <v>10</v>
      </c>
    </row>
    <row r="88" spans="1:5" x14ac:dyDescent="0.25">
      <c r="A88" s="9" t="s">
        <v>100</v>
      </c>
      <c r="B88" s="10">
        <v>60</v>
      </c>
      <c r="C88" s="11" t="str" cm="1">
        <f t="array" ref="C88">_xlfn.IFS(AND(B88&gt;18,B88&lt;=30),"18-30",AND(B88&gt;30,B88&lt;=50),"31-50",B88&gt;50,"51 plus",TRUE,"")</f>
        <v>51 plus</v>
      </c>
      <c r="D88" s="9" t="s">
        <v>6</v>
      </c>
      <c r="E88" s="9" t="s">
        <v>10</v>
      </c>
    </row>
    <row r="89" spans="1:5" x14ac:dyDescent="0.25">
      <c r="A89" s="12" t="s">
        <v>101</v>
      </c>
      <c r="B89" s="13">
        <v>76</v>
      </c>
      <c r="C89" s="14" t="str" cm="1">
        <f t="array" ref="C89">_xlfn.IFS(AND(B89&gt;18,B89&lt;=30),"18-30",AND(B89&gt;30,B89&lt;=50),"31-50",B89&gt;50,"51 plus",TRUE,"")</f>
        <v>51 plus</v>
      </c>
      <c r="D89" s="12" t="s">
        <v>102</v>
      </c>
      <c r="E89" s="12" t="s">
        <v>10</v>
      </c>
    </row>
    <row r="90" spans="1:5" x14ac:dyDescent="0.25">
      <c r="A90" s="9" t="s">
        <v>103</v>
      </c>
      <c r="B90" s="10">
        <v>47</v>
      </c>
      <c r="C90" s="11" t="str" cm="1">
        <f t="array" ref="C90">_xlfn.IFS(AND(B90&gt;18,B90&lt;=30),"18-30",AND(B90&gt;30,B90&lt;=50),"31-50",B90&gt;50,"51 plus",TRUE,"")</f>
        <v>31-50</v>
      </c>
      <c r="D90" s="9" t="s">
        <v>6</v>
      </c>
      <c r="E90" s="9" t="s">
        <v>10</v>
      </c>
    </row>
    <row r="91" spans="1:5" x14ac:dyDescent="0.25">
      <c r="A91" s="12" t="s">
        <v>104</v>
      </c>
      <c r="B91" s="13">
        <v>42</v>
      </c>
      <c r="C91" s="14" t="str" cm="1">
        <f t="array" ref="C91">_xlfn.IFS(AND(B91&gt;18,B91&lt;=30),"18-30",AND(B91&gt;30,B91&lt;=50),"31-50",B91&gt;50,"51 plus",TRUE,"")</f>
        <v>31-50</v>
      </c>
      <c r="D91" s="12" t="s">
        <v>6</v>
      </c>
      <c r="E91" s="12" t="s">
        <v>7</v>
      </c>
    </row>
    <row r="92" spans="1:5" x14ac:dyDescent="0.25">
      <c r="A92" s="9" t="s">
        <v>105</v>
      </c>
      <c r="B92" s="10">
        <v>39</v>
      </c>
      <c r="C92" s="11" t="str" cm="1">
        <f t="array" ref="C92">_xlfn.IFS(AND(B92&gt;18,B92&lt;=30),"18-30",AND(B92&gt;30,B92&lt;=50),"31-50",B92&gt;50,"51 plus",TRUE,"")</f>
        <v>31-50</v>
      </c>
      <c r="D92" s="9" t="s">
        <v>6</v>
      </c>
      <c r="E92" s="9" t="s">
        <v>7</v>
      </c>
    </row>
    <row r="93" spans="1:5" x14ac:dyDescent="0.25">
      <c r="A93" s="12" t="s">
        <v>106</v>
      </c>
      <c r="B93" s="13">
        <v>57</v>
      </c>
      <c r="C93" s="14" t="str" cm="1">
        <f t="array" ref="C93">_xlfn.IFS(AND(B93&gt;18,B93&lt;=30),"18-30",AND(B93&gt;30,B93&lt;=50),"31-50",B93&gt;50,"51 plus",TRUE,"")</f>
        <v>51 plus</v>
      </c>
      <c r="D93" s="12" t="s">
        <v>28</v>
      </c>
      <c r="E93" s="12" t="s">
        <v>7</v>
      </c>
    </row>
    <row r="94" spans="1:5" x14ac:dyDescent="0.25">
      <c r="A94" s="9" t="s">
        <v>107</v>
      </c>
      <c r="B94" s="10">
        <v>30</v>
      </c>
      <c r="C94" s="11" t="str" cm="1">
        <f t="array" ref="C94">_xlfn.IFS(AND(B94&gt;18,B94&lt;=30),"18-30",AND(B94&gt;30,B94&lt;=50),"31-50",B94&gt;50,"51 plus",TRUE,"")</f>
        <v>18-30</v>
      </c>
      <c r="D94" s="9" t="s">
        <v>6</v>
      </c>
      <c r="E94" s="9" t="s">
        <v>7</v>
      </c>
    </row>
    <row r="95" spans="1:5" x14ac:dyDescent="0.25">
      <c r="A95" s="12" t="s">
        <v>108</v>
      </c>
      <c r="B95" s="13">
        <v>22</v>
      </c>
      <c r="C95" s="14" t="str" cm="1">
        <f t="array" ref="C95">_xlfn.IFS(AND(B95&gt;18,B95&lt;=30),"18-30",AND(B95&gt;30,B95&lt;=50),"31-50",B95&gt;50,"51 plus",TRUE,"")</f>
        <v>18-30</v>
      </c>
      <c r="D95" s="12" t="s">
        <v>6</v>
      </c>
      <c r="E95" s="12" t="s">
        <v>7</v>
      </c>
    </row>
    <row r="96" spans="1:5" x14ac:dyDescent="0.25">
      <c r="A96" s="9" t="s">
        <v>109</v>
      </c>
      <c r="B96" s="10">
        <v>38</v>
      </c>
      <c r="C96" s="11" t="str" cm="1">
        <f t="array" ref="C96">_xlfn.IFS(AND(B96&gt;18,B96&lt;=30),"18-30",AND(B96&gt;30,B96&lt;=50),"31-50",B96&gt;50,"51 plus",TRUE,"")</f>
        <v>31-50</v>
      </c>
      <c r="D96" s="9" t="s">
        <v>6</v>
      </c>
      <c r="E96" s="9" t="s">
        <v>7</v>
      </c>
    </row>
    <row r="97" spans="1:5" x14ac:dyDescent="0.25">
      <c r="A97" s="12" t="s">
        <v>110</v>
      </c>
      <c r="B97" s="13">
        <v>32</v>
      </c>
      <c r="C97" s="14" t="str" cm="1">
        <f t="array" ref="C97">_xlfn.IFS(AND(B97&gt;18,B97&lt;=30),"18-30",AND(B97&gt;30,B97&lt;=50),"31-50",B97&gt;50,"51 plus",TRUE,"")</f>
        <v>31-50</v>
      </c>
      <c r="D97" s="12" t="s">
        <v>20</v>
      </c>
      <c r="E97" s="12" t="s">
        <v>7</v>
      </c>
    </row>
    <row r="98" spans="1:5" x14ac:dyDescent="0.25">
      <c r="A98" s="9" t="s">
        <v>111</v>
      </c>
      <c r="B98" s="10">
        <v>36</v>
      </c>
      <c r="C98" s="11" t="str" cm="1">
        <f t="array" ref="C98">_xlfn.IFS(AND(B98&gt;18,B98&lt;=30),"18-30",AND(B98&gt;30,B98&lt;=50),"31-50",B98&gt;50,"51 plus",TRUE,"")</f>
        <v>31-50</v>
      </c>
      <c r="D98" s="9" t="s">
        <v>6</v>
      </c>
      <c r="E98" s="9" t="s">
        <v>7</v>
      </c>
    </row>
    <row r="99" spans="1:5" x14ac:dyDescent="0.25">
      <c r="A99" s="12" t="s">
        <v>112</v>
      </c>
      <c r="B99" s="13">
        <v>54</v>
      </c>
      <c r="C99" s="14" t="str" cm="1">
        <f t="array" ref="C99">_xlfn.IFS(AND(B99&gt;18,B99&lt;=30),"18-30",AND(B99&gt;30,B99&lt;=50),"31-50",B99&gt;50,"51 plus",TRUE,"")</f>
        <v>51 plus</v>
      </c>
      <c r="D99" s="12" t="s">
        <v>20</v>
      </c>
      <c r="E99" s="12" t="s">
        <v>10</v>
      </c>
    </row>
    <row r="100" spans="1:5" x14ac:dyDescent="0.25">
      <c r="A100" s="9" t="s">
        <v>113</v>
      </c>
      <c r="B100" s="10">
        <v>43</v>
      </c>
      <c r="C100" s="11" t="str" cm="1">
        <f t="array" ref="C100">_xlfn.IFS(AND(B100&gt;18,B100&lt;=30),"18-30",AND(B100&gt;30,B100&lt;=50),"31-50",B100&gt;50,"51 plus",TRUE,"")</f>
        <v>31-50</v>
      </c>
      <c r="D100" s="9" t="s">
        <v>6</v>
      </c>
      <c r="E100" s="9" t="s">
        <v>10</v>
      </c>
    </row>
    <row r="101" spans="1:5" x14ac:dyDescent="0.25">
      <c r="A101" s="12" t="s">
        <v>114</v>
      </c>
      <c r="B101" s="13">
        <v>58</v>
      </c>
      <c r="C101" s="14" t="str" cm="1">
        <f t="array" ref="C101">_xlfn.IFS(AND(B101&gt;18,B101&lt;=30),"18-30",AND(B101&gt;30,B101&lt;=50),"31-50",B101&gt;50,"51 plus",TRUE,"")</f>
        <v>51 plus</v>
      </c>
      <c r="D101" s="12" t="s">
        <v>6</v>
      </c>
      <c r="E101" s="12" t="s">
        <v>7</v>
      </c>
    </row>
    <row r="102" spans="1:5" x14ac:dyDescent="0.25">
      <c r="A102" s="9" t="s">
        <v>115</v>
      </c>
      <c r="B102" s="10">
        <v>44</v>
      </c>
      <c r="C102" s="11" t="str" cm="1">
        <f t="array" ref="C102">_xlfn.IFS(AND(B102&gt;18,B102&lt;=30),"18-30",AND(B102&gt;30,B102&lt;=50),"31-50",B102&gt;50,"51 plus",TRUE,"")</f>
        <v>31-50</v>
      </c>
      <c r="D102" s="9" t="s">
        <v>28</v>
      </c>
      <c r="E102" s="9" t="s">
        <v>10</v>
      </c>
    </row>
    <row r="103" spans="1:5" x14ac:dyDescent="0.25">
      <c r="A103" s="12" t="s">
        <v>116</v>
      </c>
      <c r="B103" s="13">
        <v>60</v>
      </c>
      <c r="C103" s="14" t="str" cm="1">
        <f t="array" ref="C103">_xlfn.IFS(AND(B103&gt;18,B103&lt;=30),"18-30",AND(B103&gt;30,B103&lt;=50),"31-50",B103&gt;50,"51 plus",TRUE,"")</f>
        <v>51 plus</v>
      </c>
      <c r="D103" s="12" t="s">
        <v>6</v>
      </c>
      <c r="E103" s="12" t="s">
        <v>10</v>
      </c>
    </row>
    <row r="104" spans="1:5" x14ac:dyDescent="0.25">
      <c r="A104" s="9" t="s">
        <v>117</v>
      </c>
      <c r="B104" s="10">
        <v>61</v>
      </c>
      <c r="C104" s="11" t="str" cm="1">
        <f t="array" ref="C104">_xlfn.IFS(AND(B104&gt;18,B104&lt;=30),"18-30",AND(B104&gt;30,B104&lt;=50),"31-50",B104&gt;50,"51 plus",TRUE,"")</f>
        <v>51 plus</v>
      </c>
      <c r="D104" s="9" t="s">
        <v>20</v>
      </c>
      <c r="E104" s="9" t="s">
        <v>10</v>
      </c>
    </row>
    <row r="105" spans="1:5" x14ac:dyDescent="0.25">
      <c r="A105" s="12" t="s">
        <v>118</v>
      </c>
      <c r="B105" s="13">
        <v>27</v>
      </c>
      <c r="C105" s="14" t="str" cm="1">
        <f t="array" ref="C105">_xlfn.IFS(AND(B105&gt;18,B105&lt;=30),"18-30",AND(B105&gt;30,B105&lt;=50),"31-50",B105&gt;50,"51 plus",TRUE,"")</f>
        <v>18-30</v>
      </c>
      <c r="D105" s="12" t="s">
        <v>28</v>
      </c>
      <c r="E105" s="12" t="s">
        <v>7</v>
      </c>
    </row>
    <row r="106" spans="1:5" x14ac:dyDescent="0.25">
      <c r="A106" s="9" t="s">
        <v>119</v>
      </c>
      <c r="B106" s="10">
        <v>43</v>
      </c>
      <c r="C106" s="11" t="str" cm="1">
        <f t="array" ref="C106">_xlfn.IFS(AND(B106&gt;18,B106&lt;=30),"18-30",AND(B106&gt;30,B106&lt;=50),"31-50",B106&gt;50,"51 plus",TRUE,"")</f>
        <v>31-50</v>
      </c>
      <c r="D106" s="9" t="s">
        <v>6</v>
      </c>
      <c r="E106" s="9" t="s">
        <v>10</v>
      </c>
    </row>
    <row r="107" spans="1:5" x14ac:dyDescent="0.25">
      <c r="A107" s="12" t="s">
        <v>120</v>
      </c>
      <c r="B107" s="13">
        <v>50</v>
      </c>
      <c r="C107" s="14" t="str" cm="1">
        <f t="array" ref="C107">_xlfn.IFS(AND(B107&gt;18,B107&lt;=30),"18-30",AND(B107&gt;30,B107&lt;=50),"31-50",B107&gt;50,"51 plus",TRUE,"")</f>
        <v>31-50</v>
      </c>
      <c r="D107" s="12" t="s">
        <v>20</v>
      </c>
      <c r="E107" s="12" t="s">
        <v>10</v>
      </c>
    </row>
    <row r="108" spans="1:5" x14ac:dyDescent="0.25">
      <c r="A108" s="9" t="s">
        <v>121</v>
      </c>
      <c r="B108" s="10">
        <v>40</v>
      </c>
      <c r="C108" s="11" t="str" cm="1">
        <f t="array" ref="C108">_xlfn.IFS(AND(B108&gt;18,B108&lt;=30),"18-30",AND(B108&gt;30,B108&lt;=50),"31-50",B108&gt;50,"51 plus",TRUE,"")</f>
        <v>31-50</v>
      </c>
      <c r="D108" s="9" t="s">
        <v>6</v>
      </c>
      <c r="E108" s="9" t="s">
        <v>7</v>
      </c>
    </row>
    <row r="109" spans="1:5" x14ac:dyDescent="0.25">
      <c r="A109" s="12" t="s">
        <v>122</v>
      </c>
      <c r="B109" s="13">
        <v>55</v>
      </c>
      <c r="C109" s="14" t="str" cm="1">
        <f t="array" ref="C109">_xlfn.IFS(AND(B109&gt;18,B109&lt;=30),"18-30",AND(B109&gt;30,B109&lt;=50),"31-50",B109&gt;50,"51 plus",TRUE,"")</f>
        <v>51 plus</v>
      </c>
      <c r="D109" s="12" t="s">
        <v>20</v>
      </c>
      <c r="E109" s="12" t="s">
        <v>7</v>
      </c>
    </row>
    <row r="110" spans="1:5" x14ac:dyDescent="0.25">
      <c r="A110" s="9" t="s">
        <v>123</v>
      </c>
      <c r="B110" s="10">
        <v>48</v>
      </c>
      <c r="C110" s="11" t="str" cm="1">
        <f t="array" ref="C110">_xlfn.IFS(AND(B110&gt;18,B110&lt;=30),"18-30",AND(B110&gt;30,B110&lt;=50),"31-50",B110&gt;50,"51 plus",TRUE,"")</f>
        <v>31-50</v>
      </c>
      <c r="D110" s="9" t="s">
        <v>28</v>
      </c>
      <c r="E110" s="9" t="s">
        <v>10</v>
      </c>
    </row>
    <row r="111" spans="1:5" x14ac:dyDescent="0.25">
      <c r="A111" s="12" t="s">
        <v>124</v>
      </c>
      <c r="B111" s="13">
        <v>21</v>
      </c>
      <c r="C111" s="14" t="str" cm="1">
        <f t="array" ref="C111">_xlfn.IFS(AND(B111&gt;18,B111&lt;=30),"18-30",AND(B111&gt;30,B111&lt;=50),"31-50",B111&gt;50,"51 plus",TRUE,"")</f>
        <v>18-30</v>
      </c>
      <c r="D111" s="12" t="s">
        <v>28</v>
      </c>
      <c r="E111" s="12" t="s">
        <v>7</v>
      </c>
    </row>
    <row r="112" spans="1:5" x14ac:dyDescent="0.25">
      <c r="A112" s="9" t="s">
        <v>125</v>
      </c>
      <c r="B112" s="10">
        <v>56</v>
      </c>
      <c r="C112" s="11" t="str" cm="1">
        <f t="array" ref="C112">_xlfn.IFS(AND(B112&gt;18,B112&lt;=30),"18-30",AND(B112&gt;30,B112&lt;=50),"31-50",B112&gt;50,"51 plus",TRUE,"")</f>
        <v>51 plus</v>
      </c>
      <c r="D112" s="9" t="s">
        <v>28</v>
      </c>
      <c r="E112" s="9" t="s">
        <v>7</v>
      </c>
    </row>
    <row r="113" spans="1:5" x14ac:dyDescent="0.25">
      <c r="A113" s="12" t="s">
        <v>126</v>
      </c>
      <c r="B113" s="13">
        <v>21</v>
      </c>
      <c r="C113" s="14" t="str" cm="1">
        <f t="array" ref="C113">_xlfn.IFS(AND(B113&gt;18,B113&lt;=30),"18-30",AND(B113&gt;30,B113&lt;=50),"31-50",B113&gt;50,"51 plus",TRUE,"")</f>
        <v>18-30</v>
      </c>
      <c r="D113" s="12" t="s">
        <v>6</v>
      </c>
      <c r="E113" s="12" t="s">
        <v>7</v>
      </c>
    </row>
    <row r="114" spans="1:5" x14ac:dyDescent="0.25">
      <c r="A114" s="9" t="s">
        <v>127</v>
      </c>
      <c r="B114" s="10">
        <v>46</v>
      </c>
      <c r="C114" s="11" t="str" cm="1">
        <f t="array" ref="C114">_xlfn.IFS(AND(B114&gt;18,B114&lt;=30),"18-30",AND(B114&gt;30,B114&lt;=50),"31-50",B114&gt;50,"51 plus",TRUE,"")</f>
        <v>31-50</v>
      </c>
      <c r="D114" s="9" t="s">
        <v>20</v>
      </c>
      <c r="E114" s="9" t="s">
        <v>7</v>
      </c>
    </row>
    <row r="115" spans="1:5" x14ac:dyDescent="0.25">
      <c r="A115" s="12" t="s">
        <v>128</v>
      </c>
      <c r="B115" s="13">
        <v>48</v>
      </c>
      <c r="C115" s="14" t="str" cm="1">
        <f t="array" ref="C115">_xlfn.IFS(AND(B115&gt;18,B115&lt;=30),"18-30",AND(B115&gt;30,B115&lt;=50),"31-50",B115&gt;50,"51 plus",TRUE,"")</f>
        <v>31-50</v>
      </c>
      <c r="D115" s="12" t="s">
        <v>28</v>
      </c>
      <c r="E115" s="12" t="s">
        <v>7</v>
      </c>
    </row>
    <row r="116" spans="1:5" x14ac:dyDescent="0.25">
      <c r="A116" s="9" t="s">
        <v>129</v>
      </c>
      <c r="B116" s="10">
        <v>26</v>
      </c>
      <c r="C116" s="11" t="str" cm="1">
        <f t="array" ref="C116">_xlfn.IFS(AND(B116&gt;18,B116&lt;=30),"18-30",AND(B116&gt;30,B116&lt;=50),"31-50",B116&gt;50,"51 plus",TRUE,"")</f>
        <v>18-30</v>
      </c>
      <c r="D116" s="9" t="s">
        <v>6</v>
      </c>
      <c r="E116" s="9" t="s">
        <v>7</v>
      </c>
    </row>
    <row r="117" spans="1:5" x14ac:dyDescent="0.25">
      <c r="A117" s="12" t="s">
        <v>130</v>
      </c>
      <c r="B117" s="13">
        <v>38</v>
      </c>
      <c r="C117" s="14" t="str" cm="1">
        <f t="array" ref="C117">_xlfn.IFS(AND(B117&gt;18,B117&lt;=30),"18-30",AND(B117&gt;30,B117&lt;=50),"31-50",B117&gt;50,"51 plus",TRUE,"")</f>
        <v>31-50</v>
      </c>
      <c r="D117" s="12" t="s">
        <v>28</v>
      </c>
      <c r="E117" s="12" t="s">
        <v>7</v>
      </c>
    </row>
    <row r="118" spans="1:5" x14ac:dyDescent="0.25">
      <c r="A118" s="9" t="s">
        <v>131</v>
      </c>
      <c r="B118" s="10">
        <v>58</v>
      </c>
      <c r="C118" s="11" t="str" cm="1">
        <f t="array" ref="C118">_xlfn.IFS(AND(B118&gt;18,B118&lt;=30),"18-30",AND(B118&gt;30,B118&lt;=50),"31-50",B118&gt;50,"51 plus",TRUE,"")</f>
        <v>51 plus</v>
      </c>
      <c r="D118" s="9" t="s">
        <v>6</v>
      </c>
      <c r="E118" s="9" t="s">
        <v>10</v>
      </c>
    </row>
    <row r="119" spans="1:5" x14ac:dyDescent="0.25">
      <c r="A119" s="12" t="s">
        <v>132</v>
      </c>
      <c r="B119" s="13">
        <v>68</v>
      </c>
      <c r="C119" s="14" t="str" cm="1">
        <f t="array" ref="C119">_xlfn.IFS(AND(B119&gt;18,B119&lt;=30),"18-30",AND(B119&gt;30,B119&lt;=50),"31-50",B119&gt;50,"51 plus",TRUE,"")</f>
        <v>51 plus</v>
      </c>
      <c r="D119" s="12" t="s">
        <v>28</v>
      </c>
      <c r="E119" s="12" t="s">
        <v>10</v>
      </c>
    </row>
    <row r="120" spans="1:5" x14ac:dyDescent="0.25">
      <c r="A120" s="9" t="s">
        <v>133</v>
      </c>
      <c r="B120" s="10">
        <v>34</v>
      </c>
      <c r="C120" s="11" t="str" cm="1">
        <f t="array" ref="C120">_xlfn.IFS(AND(B120&gt;18,B120&lt;=30),"18-30",AND(B120&gt;30,B120&lt;=50),"31-50",B120&gt;50,"51 plus",TRUE,"")</f>
        <v>31-50</v>
      </c>
      <c r="D120" s="9" t="s">
        <v>20</v>
      </c>
      <c r="E120" s="9" t="s">
        <v>7</v>
      </c>
    </row>
    <row r="121" spans="1:5" x14ac:dyDescent="0.25">
      <c r="A121" s="12" t="s">
        <v>134</v>
      </c>
      <c r="B121" s="13"/>
      <c r="C121" s="14" t="str" cm="1">
        <f t="array" ref="C121">_xlfn.IFS(AND(B121&gt;18,B121&lt;=30),"18-30",AND(B121&gt;30,B121&lt;=50),"31-50",B121&gt;50,"51 plus",TRUE,"")</f>
        <v/>
      </c>
      <c r="D121" s="12" t="s">
        <v>6</v>
      </c>
      <c r="E121" s="12" t="s">
        <v>10</v>
      </c>
    </row>
    <row r="122" spans="1:5" x14ac:dyDescent="0.25">
      <c r="A122" s="9" t="s">
        <v>135</v>
      </c>
      <c r="B122" s="10">
        <v>22</v>
      </c>
      <c r="C122" s="11" t="str" cm="1">
        <f t="array" ref="C122">_xlfn.IFS(AND(B122&gt;18,B122&lt;=30),"18-30",AND(B122&gt;30,B122&lt;=50),"31-50",B122&gt;50,"51 plus",TRUE,"")</f>
        <v>18-30</v>
      </c>
      <c r="D122" s="9" t="s">
        <v>28</v>
      </c>
      <c r="E122" s="9" t="s">
        <v>7</v>
      </c>
    </row>
    <row r="123" spans="1:5" x14ac:dyDescent="0.25">
      <c r="A123" s="12" t="s">
        <v>136</v>
      </c>
      <c r="B123" s="13">
        <v>30</v>
      </c>
      <c r="C123" s="14" t="str" cm="1">
        <f t="array" ref="C123">_xlfn.IFS(AND(B123&gt;18,B123&lt;=30),"18-30",AND(B123&gt;30,B123&lt;=50),"31-50",B123&gt;50,"51 plus",TRUE,"")</f>
        <v>18-30</v>
      </c>
      <c r="D123" s="12" t="s">
        <v>28</v>
      </c>
      <c r="E123" s="12" t="s">
        <v>7</v>
      </c>
    </row>
    <row r="124" spans="1:5" x14ac:dyDescent="0.25">
      <c r="A124" s="9" t="s">
        <v>137</v>
      </c>
      <c r="B124" s="10">
        <v>53</v>
      </c>
      <c r="C124" s="11" t="str" cm="1">
        <f t="array" ref="C124">_xlfn.IFS(AND(B124&gt;18,B124&lt;=30),"18-30",AND(B124&gt;30,B124&lt;=50),"31-50",B124&gt;50,"51 plus",TRUE,"")</f>
        <v>51 plus</v>
      </c>
      <c r="D124" s="9" t="s">
        <v>20</v>
      </c>
      <c r="E124" s="9" t="s">
        <v>7</v>
      </c>
    </row>
    <row r="125" spans="1:5" x14ac:dyDescent="0.25">
      <c r="A125" s="12" t="s">
        <v>138</v>
      </c>
      <c r="B125" s="13">
        <v>35</v>
      </c>
      <c r="C125" s="14" t="str" cm="1">
        <f t="array" ref="C125">_xlfn.IFS(AND(B125&gt;18,B125&lt;=30),"18-30",AND(B125&gt;30,B125&lt;=50),"31-50",B125&gt;50,"51 plus",TRUE,"")</f>
        <v>31-50</v>
      </c>
      <c r="D125" s="12" t="s">
        <v>6</v>
      </c>
      <c r="E125" s="12" t="s">
        <v>7</v>
      </c>
    </row>
    <row r="126" spans="1:5" x14ac:dyDescent="0.25">
      <c r="A126" s="9" t="s">
        <v>139</v>
      </c>
      <c r="B126" s="10">
        <v>19</v>
      </c>
      <c r="C126" s="11" t="str" cm="1">
        <f t="array" ref="C126">_xlfn.IFS(AND(B126&gt;18,B126&lt;=30),"18-30",AND(B126&gt;30,B126&lt;=50),"31-50",B126&gt;50,"51 plus",TRUE,"")</f>
        <v>18-30</v>
      </c>
      <c r="D126" s="9" t="s">
        <v>6</v>
      </c>
      <c r="E126" s="9" t="s">
        <v>10</v>
      </c>
    </row>
    <row r="127" spans="1:5" x14ac:dyDescent="0.25">
      <c r="A127" s="12" t="s">
        <v>140</v>
      </c>
      <c r="B127" s="13">
        <v>53</v>
      </c>
      <c r="C127" s="14" t="str" cm="1">
        <f t="array" ref="C127">_xlfn.IFS(AND(B127&gt;18,B127&lt;=30),"18-30",AND(B127&gt;30,B127&lt;=50),"31-50",B127&gt;50,"51 plus",TRUE,"")</f>
        <v>51 plus</v>
      </c>
      <c r="D127" s="12" t="s">
        <v>20</v>
      </c>
      <c r="E127" s="12" t="s">
        <v>7</v>
      </c>
    </row>
    <row r="128" spans="1:5" x14ac:dyDescent="0.25">
      <c r="A128" s="9" t="s">
        <v>141</v>
      </c>
      <c r="B128" s="10">
        <v>46</v>
      </c>
      <c r="C128" s="11" t="str" cm="1">
        <f t="array" ref="C128">_xlfn.IFS(AND(B128&gt;18,B128&lt;=30),"18-30",AND(B128&gt;30,B128&lt;=50),"31-50",B128&gt;50,"51 plus",TRUE,"")</f>
        <v>31-50</v>
      </c>
      <c r="D128" s="9" t="s">
        <v>6</v>
      </c>
      <c r="E128" s="9" t="s">
        <v>7</v>
      </c>
    </row>
    <row r="129" spans="1:5" x14ac:dyDescent="0.25">
      <c r="A129" s="12" t="s">
        <v>142</v>
      </c>
      <c r="B129" s="13">
        <v>25</v>
      </c>
      <c r="C129" s="14" t="str" cm="1">
        <f t="array" ref="C129">_xlfn.IFS(AND(B129&gt;18,B129&lt;=30),"18-30",AND(B129&gt;30,B129&lt;=50),"31-50",B129&gt;50,"51 plus",TRUE,"")</f>
        <v>18-30</v>
      </c>
      <c r="D129" s="12" t="s">
        <v>20</v>
      </c>
      <c r="E129" s="12" t="s">
        <v>7</v>
      </c>
    </row>
    <row r="130" spans="1:5" x14ac:dyDescent="0.25">
      <c r="A130" s="9" t="s">
        <v>143</v>
      </c>
      <c r="B130" s="10">
        <v>49</v>
      </c>
      <c r="C130" s="11" t="str" cm="1">
        <f t="array" ref="C130">_xlfn.IFS(AND(B130&gt;18,B130&lt;=30),"18-30",AND(B130&gt;30,B130&lt;=50),"31-50",B130&gt;50,"51 plus",TRUE,"")</f>
        <v>31-50</v>
      </c>
      <c r="D130" s="9" t="s">
        <v>28</v>
      </c>
      <c r="E130" s="9" t="s">
        <v>10</v>
      </c>
    </row>
    <row r="131" spans="1:5" x14ac:dyDescent="0.25">
      <c r="A131" s="12" t="s">
        <v>144</v>
      </c>
      <c r="B131" s="13">
        <v>49</v>
      </c>
      <c r="C131" s="14" t="str" cm="1">
        <f t="array" ref="C131">_xlfn.IFS(AND(B131&gt;18,B131&lt;=30),"18-30",AND(B131&gt;30,B131&lt;=50),"31-50",B131&gt;50,"51 plus",TRUE,"")</f>
        <v>31-50</v>
      </c>
      <c r="D131" s="12" t="s">
        <v>28</v>
      </c>
      <c r="E131" s="12" t="s">
        <v>7</v>
      </c>
    </row>
    <row r="132" spans="1:5" x14ac:dyDescent="0.25">
      <c r="A132" s="9" t="s">
        <v>145</v>
      </c>
      <c r="B132" s="10">
        <v>48</v>
      </c>
      <c r="C132" s="11" t="str" cm="1">
        <f t="array" ref="C132">_xlfn.IFS(AND(B132&gt;18,B132&lt;=30),"18-30",AND(B132&gt;30,B132&lt;=50),"31-50",B132&gt;50,"51 plus",TRUE,"")</f>
        <v>31-50</v>
      </c>
      <c r="D132" s="9" t="s">
        <v>6</v>
      </c>
      <c r="E132" s="9" t="s">
        <v>10</v>
      </c>
    </row>
    <row r="133" spans="1:5" x14ac:dyDescent="0.25">
      <c r="A133" s="12" t="s">
        <v>146</v>
      </c>
      <c r="B133" s="13">
        <v>56</v>
      </c>
      <c r="C133" s="14" t="str" cm="1">
        <f t="array" ref="C133">_xlfn.IFS(AND(B133&gt;18,B133&lt;=30),"18-30",AND(B133&gt;30,B133&lt;=50),"31-50",B133&gt;50,"51 plus",TRUE,"")</f>
        <v>51 plus</v>
      </c>
      <c r="D133" s="12" t="s">
        <v>6</v>
      </c>
      <c r="E133" s="12" t="s">
        <v>10</v>
      </c>
    </row>
    <row r="134" spans="1:5" x14ac:dyDescent="0.25">
      <c r="A134" s="9" t="s">
        <v>147</v>
      </c>
      <c r="B134" s="10">
        <v>66</v>
      </c>
      <c r="C134" s="11" t="str" cm="1">
        <f t="array" ref="C134">_xlfn.IFS(AND(B134&gt;18,B134&lt;=30),"18-30",AND(B134&gt;30,B134&lt;=50),"31-50",B134&gt;50,"51 plus",TRUE,"")</f>
        <v>51 plus</v>
      </c>
      <c r="D134" s="9" t="s">
        <v>6</v>
      </c>
      <c r="E134" s="9" t="s">
        <v>10</v>
      </c>
    </row>
    <row r="135" spans="1:5" x14ac:dyDescent="0.25">
      <c r="A135" s="12" t="s">
        <v>148</v>
      </c>
      <c r="B135" s="13">
        <v>46</v>
      </c>
      <c r="C135" s="14" t="str" cm="1">
        <f t="array" ref="C135">_xlfn.IFS(AND(B135&gt;18,B135&lt;=30),"18-30",AND(B135&gt;30,B135&lt;=50),"31-50",B135&gt;50,"51 plus",TRUE,"")</f>
        <v>31-50</v>
      </c>
      <c r="D135" s="12" t="s">
        <v>28</v>
      </c>
      <c r="E135" s="12" t="s">
        <v>7</v>
      </c>
    </row>
    <row r="136" spans="1:5" x14ac:dyDescent="0.25">
      <c r="A136" s="9" t="s">
        <v>149</v>
      </c>
      <c r="B136" s="10">
        <v>64</v>
      </c>
      <c r="C136" s="11" t="str" cm="1">
        <f t="array" ref="C136">_xlfn.IFS(AND(B136&gt;18,B136&lt;=30),"18-30",AND(B136&gt;30,B136&lt;=50),"31-50",B136&gt;50,"51 plus",TRUE,"")</f>
        <v>51 plus</v>
      </c>
      <c r="D136" s="9" t="s">
        <v>28</v>
      </c>
      <c r="E136" s="9" t="s">
        <v>7</v>
      </c>
    </row>
    <row r="137" spans="1:5" x14ac:dyDescent="0.25">
      <c r="A137" s="12" t="s">
        <v>150</v>
      </c>
      <c r="B137" s="13">
        <v>49</v>
      </c>
      <c r="C137" s="14" t="str" cm="1">
        <f t="array" ref="C137">_xlfn.IFS(AND(B137&gt;18,B137&lt;=30),"18-30",AND(B137&gt;30,B137&lt;=50),"31-50",B137&gt;50,"51 plus",TRUE,"")</f>
        <v>31-50</v>
      </c>
      <c r="D137" s="12" t="s">
        <v>20</v>
      </c>
      <c r="E137" s="12" t="s">
        <v>7</v>
      </c>
    </row>
    <row r="138" spans="1:5" x14ac:dyDescent="0.25">
      <c r="A138" s="9" t="s">
        <v>151</v>
      </c>
      <c r="B138" s="10">
        <v>55</v>
      </c>
      <c r="C138" s="11" t="str" cm="1">
        <f t="array" ref="C138">_xlfn.IFS(AND(B138&gt;18,B138&lt;=30),"18-30",AND(B138&gt;30,B138&lt;=50),"31-50",B138&gt;50,"51 plus",TRUE,"")</f>
        <v>51 plus</v>
      </c>
      <c r="D138" s="9" t="s">
        <v>28</v>
      </c>
      <c r="E138" s="9" t="s">
        <v>7</v>
      </c>
    </row>
    <row r="139" spans="1:5" x14ac:dyDescent="0.25">
      <c r="A139" s="12" t="s">
        <v>152</v>
      </c>
      <c r="B139" s="13">
        <v>29</v>
      </c>
      <c r="C139" s="14" t="str" cm="1">
        <f t="array" ref="C139">_xlfn.IFS(AND(B139&gt;18,B139&lt;=30),"18-30",AND(B139&gt;30,B139&lt;=50),"31-50",B139&gt;50,"51 plus",TRUE,"")</f>
        <v>18-30</v>
      </c>
      <c r="D139" s="12" t="s">
        <v>6</v>
      </c>
      <c r="E139" s="12" t="s">
        <v>10</v>
      </c>
    </row>
    <row r="140" spans="1:5" x14ac:dyDescent="0.25">
      <c r="A140" s="9" t="s">
        <v>153</v>
      </c>
      <c r="B140" s="10">
        <v>57</v>
      </c>
      <c r="C140" s="11" t="str" cm="1">
        <f t="array" ref="C140">_xlfn.IFS(AND(B140&gt;18,B140&lt;=30),"18-30",AND(B140&gt;30,B140&lt;=50),"31-50",B140&gt;50,"51 plus",TRUE,"")</f>
        <v>51 plus</v>
      </c>
      <c r="D140" s="9" t="s">
        <v>28</v>
      </c>
      <c r="E140" s="9" t="s">
        <v>7</v>
      </c>
    </row>
    <row r="141" spans="1:5" x14ac:dyDescent="0.25">
      <c r="A141" s="12" t="s">
        <v>154</v>
      </c>
      <c r="B141" s="13">
        <v>44</v>
      </c>
      <c r="C141" s="14" t="str" cm="1">
        <f t="array" ref="C141">_xlfn.IFS(AND(B141&gt;18,B141&lt;=30),"18-30",AND(B141&gt;30,B141&lt;=50),"31-50",B141&gt;50,"51 plus",TRUE,"")</f>
        <v>31-50</v>
      </c>
      <c r="D141" s="12" t="s">
        <v>28</v>
      </c>
      <c r="E141" s="12" t="s">
        <v>7</v>
      </c>
    </row>
    <row r="142" spans="1:5" x14ac:dyDescent="0.25">
      <c r="A142" s="9" t="s">
        <v>155</v>
      </c>
      <c r="B142" s="10">
        <v>29</v>
      </c>
      <c r="C142" s="11" t="str" cm="1">
        <f t="array" ref="C142">_xlfn.IFS(AND(B142&gt;18,B142&lt;=30),"18-30",AND(B142&gt;30,B142&lt;=50),"31-50",B142&gt;50,"51 plus",TRUE,"")</f>
        <v>18-30</v>
      </c>
      <c r="D142" s="9" t="s">
        <v>28</v>
      </c>
      <c r="E142" s="9" t="s">
        <v>10</v>
      </c>
    </row>
    <row r="143" spans="1:5" x14ac:dyDescent="0.25">
      <c r="A143" s="12" t="s">
        <v>156</v>
      </c>
      <c r="B143" s="13">
        <v>56</v>
      </c>
      <c r="C143" s="14" t="str" cm="1">
        <f t="array" ref="C143">_xlfn.IFS(AND(B143&gt;18,B143&lt;=30),"18-30",AND(B143&gt;30,B143&lt;=50),"31-50",B143&gt;50,"51 plus",TRUE,"")</f>
        <v>51 plus</v>
      </c>
      <c r="D143" s="12" t="s">
        <v>28</v>
      </c>
      <c r="E143" s="12" t="s">
        <v>7</v>
      </c>
    </row>
    <row r="144" spans="1:5" x14ac:dyDescent="0.25">
      <c r="A144" s="9" t="s">
        <v>157</v>
      </c>
      <c r="B144" s="10">
        <v>67</v>
      </c>
      <c r="C144" s="11" t="str" cm="1">
        <f t="array" ref="C144">_xlfn.IFS(AND(B144&gt;18,B144&lt;=30),"18-30",AND(B144&gt;30,B144&lt;=50),"31-50",B144&gt;50,"51 plus",TRUE,"")</f>
        <v>51 plus</v>
      </c>
      <c r="D144" s="9" t="s">
        <v>9</v>
      </c>
      <c r="E144" s="9" t="s">
        <v>10</v>
      </c>
    </row>
    <row r="145" spans="1:5" x14ac:dyDescent="0.25">
      <c r="A145" s="12" t="s">
        <v>158</v>
      </c>
      <c r="B145" s="13">
        <v>65</v>
      </c>
      <c r="C145" s="14" t="str" cm="1">
        <f t="array" ref="C145">_xlfn.IFS(AND(B145&gt;18,B145&lt;=30),"18-30",AND(B145&gt;30,B145&lt;=50),"31-50",B145&gt;50,"51 plus",TRUE,"")</f>
        <v>51 plus</v>
      </c>
      <c r="D145" s="12" t="s">
        <v>9</v>
      </c>
      <c r="E145" s="12" t="s">
        <v>10</v>
      </c>
    </row>
    <row r="146" spans="1:5" x14ac:dyDescent="0.25">
      <c r="A146" s="9" t="s">
        <v>159</v>
      </c>
      <c r="B146" s="10">
        <v>45</v>
      </c>
      <c r="C146" s="11" t="str" cm="1">
        <f t="array" ref="C146">_xlfn.IFS(AND(B146&gt;18,B146&lt;=30),"18-30",AND(B146&gt;30,B146&lt;=50),"31-50",B146&gt;50,"51 plus",TRUE,"")</f>
        <v>31-50</v>
      </c>
      <c r="D146" s="9" t="s">
        <v>28</v>
      </c>
      <c r="E146" s="9" t="s">
        <v>7</v>
      </c>
    </row>
    <row r="147" spans="1:5" x14ac:dyDescent="0.25">
      <c r="A147" s="12" t="s">
        <v>160</v>
      </c>
      <c r="B147" s="13">
        <v>47</v>
      </c>
      <c r="C147" s="14" t="str" cm="1">
        <f t="array" ref="C147">_xlfn.IFS(AND(B147&gt;18,B147&lt;=30),"18-30",AND(B147&gt;30,B147&lt;=50),"31-50",B147&gt;50,"51 plus",TRUE,"")</f>
        <v>31-50</v>
      </c>
      <c r="D147" s="12" t="s">
        <v>28</v>
      </c>
      <c r="E147" s="12" t="s">
        <v>7</v>
      </c>
    </row>
    <row r="148" spans="1:5" x14ac:dyDescent="0.25">
      <c r="A148" s="9" t="s">
        <v>161</v>
      </c>
      <c r="B148" s="10">
        <v>72</v>
      </c>
      <c r="C148" s="11" t="str" cm="1">
        <f t="array" ref="C148">_xlfn.IFS(AND(B148&gt;18,B148&lt;=30),"18-30",AND(B148&gt;30,B148&lt;=50),"31-50",B148&gt;50,"51 plus",TRUE,"")</f>
        <v>51 plus</v>
      </c>
      <c r="D148" s="9" t="s">
        <v>28</v>
      </c>
      <c r="E148" s="9" t="s">
        <v>10</v>
      </c>
    </row>
    <row r="149" spans="1:5" x14ac:dyDescent="0.25">
      <c r="A149" s="12" t="s">
        <v>162</v>
      </c>
      <c r="B149" s="13">
        <v>55</v>
      </c>
      <c r="C149" s="14" t="str" cm="1">
        <f t="array" ref="C149">_xlfn.IFS(AND(B149&gt;18,B149&lt;=30),"18-30",AND(B149&gt;30,B149&lt;=50),"31-50",B149&gt;50,"51 plus",TRUE,"")</f>
        <v>51 plus</v>
      </c>
      <c r="D149" s="12" t="s">
        <v>6</v>
      </c>
      <c r="E149" s="12" t="s">
        <v>10</v>
      </c>
    </row>
    <row r="150" spans="1:5" x14ac:dyDescent="0.25">
      <c r="A150" s="9" t="s">
        <v>163</v>
      </c>
      <c r="B150" s="10">
        <v>33</v>
      </c>
      <c r="C150" s="11" t="str" cm="1">
        <f t="array" ref="C150">_xlfn.IFS(AND(B150&gt;18,B150&lt;=30),"18-30",AND(B150&gt;30,B150&lt;=50),"31-50",B150&gt;50,"51 plus",TRUE,"")</f>
        <v>31-50</v>
      </c>
      <c r="D150" s="9" t="s">
        <v>28</v>
      </c>
      <c r="E150" s="9" t="s">
        <v>7</v>
      </c>
    </row>
    <row r="151" spans="1:5" x14ac:dyDescent="0.25">
      <c r="A151" s="12" t="s">
        <v>164</v>
      </c>
      <c r="B151" s="13">
        <v>63</v>
      </c>
      <c r="C151" s="14" t="str" cm="1">
        <f t="array" ref="C151">_xlfn.IFS(AND(B151&gt;18,B151&lt;=30),"18-30",AND(B151&gt;30,B151&lt;=50),"31-50",B151&gt;50,"51 plus",TRUE,"")</f>
        <v>51 plus</v>
      </c>
      <c r="D151" s="12" t="s">
        <v>6</v>
      </c>
      <c r="E151" s="12" t="s">
        <v>7</v>
      </c>
    </row>
    <row r="152" spans="1:5" x14ac:dyDescent="0.25">
      <c r="A152" s="9" t="s">
        <v>165</v>
      </c>
      <c r="B152" s="10">
        <v>35</v>
      </c>
      <c r="C152" s="11" t="str" cm="1">
        <f t="array" ref="C152">_xlfn.IFS(AND(B152&gt;18,B152&lt;=30),"18-30",AND(B152&gt;30,B152&lt;=50),"31-50",B152&gt;50,"51 plus",TRUE,"")</f>
        <v>31-50</v>
      </c>
      <c r="D152" s="9" t="s">
        <v>44</v>
      </c>
      <c r="E152" s="9" t="s">
        <v>10</v>
      </c>
    </row>
    <row r="153" spans="1:5" x14ac:dyDescent="0.25">
      <c r="A153" s="12" t="s">
        <v>166</v>
      </c>
      <c r="B153" s="13">
        <v>52</v>
      </c>
      <c r="C153" s="14" t="str" cm="1">
        <f t="array" ref="C153">_xlfn.IFS(AND(B153&gt;18,B153&lt;=30),"18-30",AND(B153&gt;30,B153&lt;=50),"31-50",B153&gt;50,"51 plus",TRUE,"")</f>
        <v>51 plus</v>
      </c>
      <c r="D153" s="12" t="s">
        <v>28</v>
      </c>
      <c r="E153" s="12" t="s">
        <v>7</v>
      </c>
    </row>
    <row r="154" spans="1:5" x14ac:dyDescent="0.25">
      <c r="A154" s="9" t="s">
        <v>167</v>
      </c>
      <c r="B154" s="10">
        <v>30</v>
      </c>
      <c r="C154" s="11" t="str" cm="1">
        <f t="array" ref="C154">_xlfn.IFS(AND(B154&gt;18,B154&lt;=30),"18-30",AND(B154&gt;30,B154&lt;=50),"31-50",B154&gt;50,"51 plus",TRUE,"")</f>
        <v>18-30</v>
      </c>
      <c r="D154" s="9" t="s">
        <v>6</v>
      </c>
      <c r="E154" s="9" t="s">
        <v>7</v>
      </c>
    </row>
    <row r="155" spans="1:5" x14ac:dyDescent="0.25">
      <c r="A155" s="12" t="s">
        <v>168</v>
      </c>
      <c r="B155" s="13">
        <v>65</v>
      </c>
      <c r="C155" s="14" t="str" cm="1">
        <f t="array" ref="C155">_xlfn.IFS(AND(B155&gt;18,B155&lt;=30),"18-30",AND(B155&gt;30,B155&lt;=50),"31-50",B155&gt;50,"51 plus",TRUE,"")</f>
        <v>51 plus</v>
      </c>
      <c r="D155" s="12" t="s">
        <v>20</v>
      </c>
      <c r="E155" s="12" t="s">
        <v>7</v>
      </c>
    </row>
    <row r="156" spans="1:5" x14ac:dyDescent="0.25">
      <c r="A156" s="9" t="s">
        <v>169</v>
      </c>
      <c r="B156" s="10">
        <v>46</v>
      </c>
      <c r="C156" s="11" t="str" cm="1">
        <f t="array" ref="C156">_xlfn.IFS(AND(B156&gt;18,B156&lt;=30),"18-30",AND(B156&gt;30,B156&lt;=50),"31-50",B156&gt;50,"51 plus",TRUE,"")</f>
        <v>31-50</v>
      </c>
      <c r="D156" s="9" t="s">
        <v>28</v>
      </c>
      <c r="E156" s="9" t="s">
        <v>7</v>
      </c>
    </row>
    <row r="157" spans="1:5" x14ac:dyDescent="0.25">
      <c r="A157" s="12" t="s">
        <v>170</v>
      </c>
      <c r="B157" s="13">
        <v>48</v>
      </c>
      <c r="C157" s="14" t="str" cm="1">
        <f t="array" ref="C157">_xlfn.IFS(AND(B157&gt;18,B157&lt;=30),"18-30",AND(B157&gt;30,B157&lt;=50),"31-50",B157&gt;50,"51 plus",TRUE,"")</f>
        <v>31-50</v>
      </c>
      <c r="D157" s="12" t="s">
        <v>28</v>
      </c>
      <c r="E157" s="12" t="s">
        <v>10</v>
      </c>
    </row>
    <row r="158" spans="1:5" x14ac:dyDescent="0.25">
      <c r="A158" s="9" t="s">
        <v>171</v>
      </c>
      <c r="B158" s="10">
        <v>49</v>
      </c>
      <c r="C158" s="11" t="str" cm="1">
        <f t="array" ref="C158">_xlfn.IFS(AND(B158&gt;18,B158&lt;=30),"18-30",AND(B158&gt;30,B158&lt;=50),"31-50",B158&gt;50,"51 plus",TRUE,"")</f>
        <v>31-50</v>
      </c>
      <c r="D158" s="9" t="s">
        <v>28</v>
      </c>
      <c r="E158" s="9" t="s">
        <v>7</v>
      </c>
    </row>
    <row r="159" spans="1:5" x14ac:dyDescent="0.25">
      <c r="A159" s="12" t="s">
        <v>172</v>
      </c>
      <c r="B159" s="13">
        <v>42</v>
      </c>
      <c r="C159" s="14" t="str" cm="1">
        <f t="array" ref="C159">_xlfn.IFS(AND(B159&gt;18,B159&lt;=30),"18-30",AND(B159&gt;30,B159&lt;=50),"31-50",B159&gt;50,"51 plus",TRUE,"")</f>
        <v>31-50</v>
      </c>
      <c r="D159" s="12" t="s">
        <v>28</v>
      </c>
      <c r="E159" s="12" t="s">
        <v>7</v>
      </c>
    </row>
    <row r="160" spans="1:5" x14ac:dyDescent="0.25">
      <c r="A160" s="9" t="s">
        <v>173</v>
      </c>
      <c r="B160" s="10">
        <v>57</v>
      </c>
      <c r="C160" s="11" t="str" cm="1">
        <f t="array" ref="C160">_xlfn.IFS(AND(B160&gt;18,B160&lt;=30),"18-30",AND(B160&gt;30,B160&lt;=50),"31-50",B160&gt;50,"51 plus",TRUE,"")</f>
        <v>51 plus</v>
      </c>
      <c r="D160" s="9" t="s">
        <v>40</v>
      </c>
      <c r="E160" s="9" t="s">
        <v>10</v>
      </c>
    </row>
    <row r="161" spans="1:5" x14ac:dyDescent="0.25">
      <c r="A161" s="12" t="s">
        <v>174</v>
      </c>
      <c r="B161" s="13">
        <v>57</v>
      </c>
      <c r="C161" s="14" t="str" cm="1">
        <f t="array" ref="C161">_xlfn.IFS(AND(B161&gt;18,B161&lt;=30),"18-30",AND(B161&gt;30,B161&lt;=50),"31-50",B161&gt;50,"51 plus",TRUE,"")</f>
        <v>51 plus</v>
      </c>
      <c r="D161" s="12" t="s">
        <v>28</v>
      </c>
      <c r="E161" s="12" t="s">
        <v>10</v>
      </c>
    </row>
    <row r="162" spans="1:5" x14ac:dyDescent="0.25">
      <c r="A162" s="9" t="s">
        <v>175</v>
      </c>
      <c r="B162" s="10">
        <v>34</v>
      </c>
      <c r="C162" s="11" t="str" cm="1">
        <f t="array" ref="C162">_xlfn.IFS(AND(B162&gt;18,B162&lt;=30),"18-30",AND(B162&gt;30,B162&lt;=50),"31-50",B162&gt;50,"51 plus",TRUE,"")</f>
        <v>31-50</v>
      </c>
      <c r="D162" s="9" t="s">
        <v>28</v>
      </c>
      <c r="E162" s="9" t="s">
        <v>7</v>
      </c>
    </row>
    <row r="163" spans="1:5" x14ac:dyDescent="0.25">
      <c r="A163" s="12" t="s">
        <v>176</v>
      </c>
      <c r="B163" s="13">
        <v>49</v>
      </c>
      <c r="C163" s="14" t="str" cm="1">
        <f t="array" ref="C163">_xlfn.IFS(AND(B163&gt;18,B163&lt;=30),"18-30",AND(B163&gt;30,B163&lt;=50),"31-50",B163&gt;50,"51 plus",TRUE,"")</f>
        <v>31-50</v>
      </c>
      <c r="D163" s="12" t="s">
        <v>20</v>
      </c>
      <c r="E163" s="12" t="s">
        <v>7</v>
      </c>
    </row>
    <row r="164" spans="1:5" x14ac:dyDescent="0.25">
      <c r="A164" s="9" t="s">
        <v>177</v>
      </c>
      <c r="B164" s="10">
        <v>23</v>
      </c>
      <c r="C164" s="11" t="str" cm="1">
        <f t="array" ref="C164">_xlfn.IFS(AND(B164&gt;18,B164&lt;=30),"18-30",AND(B164&gt;30,B164&lt;=50),"31-50",B164&gt;50,"51 plus",TRUE,"")</f>
        <v>18-30</v>
      </c>
      <c r="D164" s="9" t="s">
        <v>20</v>
      </c>
      <c r="E164" s="9" t="s">
        <v>7</v>
      </c>
    </row>
    <row r="165" spans="1:5" x14ac:dyDescent="0.25">
      <c r="A165" s="12" t="s">
        <v>178</v>
      </c>
      <c r="B165" s="13">
        <v>55</v>
      </c>
      <c r="C165" s="14" t="str" cm="1">
        <f t="array" ref="C165">_xlfn.IFS(AND(B165&gt;18,B165&lt;=30),"18-30",AND(B165&gt;30,B165&lt;=50),"31-50",B165&gt;50,"51 plus",TRUE,"")</f>
        <v>51 plus</v>
      </c>
      <c r="D165" s="12" t="s">
        <v>20</v>
      </c>
      <c r="E165" s="12" t="s">
        <v>7</v>
      </c>
    </row>
    <row r="166" spans="1:5" x14ac:dyDescent="0.25">
      <c r="A166" s="9" t="s">
        <v>179</v>
      </c>
      <c r="B166" s="10">
        <v>42</v>
      </c>
      <c r="C166" s="11" t="str" cm="1">
        <f t="array" ref="C166">_xlfn.IFS(AND(B166&gt;18,B166&lt;=30),"18-30",AND(B166&gt;30,B166&lt;=50),"31-50",B166&gt;50,"51 plus",TRUE,"")</f>
        <v>31-50</v>
      </c>
      <c r="D166" s="9" t="s">
        <v>6</v>
      </c>
      <c r="E166" s="9" t="s">
        <v>10</v>
      </c>
    </row>
    <row r="167" spans="1:5" x14ac:dyDescent="0.25">
      <c r="A167" s="12" t="s">
        <v>180</v>
      </c>
      <c r="B167" s="13">
        <v>50</v>
      </c>
      <c r="C167" s="14" t="str" cm="1">
        <f t="array" ref="C167">_xlfn.IFS(AND(B167&gt;18,B167&lt;=30),"18-30",AND(B167&gt;30,B167&lt;=50),"31-50",B167&gt;50,"51 plus",TRUE,"")</f>
        <v>31-50</v>
      </c>
      <c r="D167" s="12" t="s">
        <v>20</v>
      </c>
      <c r="E167" s="12" t="s">
        <v>7</v>
      </c>
    </row>
    <row r="168" spans="1:5" x14ac:dyDescent="0.25">
      <c r="A168" s="9" t="s">
        <v>181</v>
      </c>
      <c r="B168" s="10">
        <v>67</v>
      </c>
      <c r="C168" s="11" t="str" cm="1">
        <f t="array" ref="C168">_xlfn.IFS(AND(B168&gt;18,B168&lt;=30),"18-30",AND(B168&gt;30,B168&lt;=50),"31-50",B168&gt;50,"51 plus",TRUE,"")</f>
        <v>51 plus</v>
      </c>
      <c r="D168" s="9" t="s">
        <v>28</v>
      </c>
      <c r="E168" s="9" t="s">
        <v>7</v>
      </c>
    </row>
    <row r="169" spans="1:5" x14ac:dyDescent="0.25">
      <c r="A169" s="12" t="s">
        <v>182</v>
      </c>
      <c r="B169" s="13">
        <v>71</v>
      </c>
      <c r="C169" s="14" t="str" cm="1">
        <f t="array" ref="C169">_xlfn.IFS(AND(B169&gt;18,B169&lt;=30),"18-30",AND(B169&gt;30,B169&lt;=50),"31-50",B169&gt;50,"51 plus",TRUE,"")</f>
        <v>51 plus</v>
      </c>
      <c r="D169" s="12" t="s">
        <v>28</v>
      </c>
      <c r="E169" s="12" t="s">
        <v>7</v>
      </c>
    </row>
    <row r="170" spans="1:5" x14ac:dyDescent="0.25">
      <c r="A170" s="9" t="s">
        <v>183</v>
      </c>
      <c r="B170" s="10">
        <v>81</v>
      </c>
      <c r="C170" s="11" t="str" cm="1">
        <f t="array" ref="C170">_xlfn.IFS(AND(B170&gt;18,B170&lt;=30),"18-30",AND(B170&gt;30,B170&lt;=50),"31-50",B170&gt;50,"51 plus",TRUE,"")</f>
        <v>51 plus</v>
      </c>
      <c r="D170" s="9" t="s">
        <v>20</v>
      </c>
      <c r="E170" s="9" t="s">
        <v>10</v>
      </c>
    </row>
    <row r="171" spans="1:5" x14ac:dyDescent="0.25">
      <c r="A171" s="12" t="s">
        <v>184</v>
      </c>
      <c r="B171" s="13">
        <v>32</v>
      </c>
      <c r="C171" s="14" t="str" cm="1">
        <f t="array" ref="C171">_xlfn.IFS(AND(B171&gt;18,B171&lt;=30),"18-30",AND(B171&gt;30,B171&lt;=50),"31-50",B171&gt;50,"51 plus",TRUE,"")</f>
        <v>31-50</v>
      </c>
      <c r="D171" s="12" t="s">
        <v>20</v>
      </c>
      <c r="E171" s="12" t="s">
        <v>7</v>
      </c>
    </row>
    <row r="172" spans="1:5" x14ac:dyDescent="0.25">
      <c r="A172" s="9" t="s">
        <v>185</v>
      </c>
      <c r="B172" s="10">
        <v>67</v>
      </c>
      <c r="C172" s="11" t="str" cm="1">
        <f t="array" ref="C172">_xlfn.IFS(AND(B172&gt;18,B172&lt;=30),"18-30",AND(B172&gt;30,B172&lt;=50),"31-50",B172&gt;50,"51 plus",TRUE,"")</f>
        <v>51 plus</v>
      </c>
      <c r="D172" s="9" t="s">
        <v>6</v>
      </c>
      <c r="E172" s="9" t="s">
        <v>7</v>
      </c>
    </row>
    <row r="173" spans="1:5" x14ac:dyDescent="0.25">
      <c r="A173" s="12" t="s">
        <v>186</v>
      </c>
      <c r="B173" s="13">
        <v>51</v>
      </c>
      <c r="C173" s="14" t="str" cm="1">
        <f t="array" ref="C173">_xlfn.IFS(AND(B173&gt;18,B173&lt;=30),"18-30",AND(B173&gt;30,B173&lt;=50),"31-50",B173&gt;50,"51 plus",TRUE,"")</f>
        <v>51 plus</v>
      </c>
      <c r="D173" s="12" t="s">
        <v>20</v>
      </c>
      <c r="E173" s="12" t="s">
        <v>10</v>
      </c>
    </row>
    <row r="174" spans="1:5" x14ac:dyDescent="0.25">
      <c r="A174" s="9" t="s">
        <v>187</v>
      </c>
      <c r="B174" s="10">
        <v>65</v>
      </c>
      <c r="C174" s="11" t="str" cm="1">
        <f t="array" ref="C174">_xlfn.IFS(AND(B174&gt;18,B174&lt;=30),"18-30",AND(B174&gt;30,B174&lt;=50),"31-50",B174&gt;50,"51 plus",TRUE,"")</f>
        <v>51 plus</v>
      </c>
      <c r="D174" s="9" t="s">
        <v>6</v>
      </c>
      <c r="E174" s="9" t="s">
        <v>10</v>
      </c>
    </row>
    <row r="175" spans="1:5" x14ac:dyDescent="0.25">
      <c r="A175" s="12" t="s">
        <v>188</v>
      </c>
      <c r="B175" s="13">
        <v>71</v>
      </c>
      <c r="C175" s="14" t="str" cm="1">
        <f t="array" ref="C175">_xlfn.IFS(AND(B175&gt;18,B175&lt;=30),"18-30",AND(B175&gt;30,B175&lt;=50),"31-50",B175&gt;50,"51 plus",TRUE,"")</f>
        <v>51 plus</v>
      </c>
      <c r="D175" s="12" t="s">
        <v>28</v>
      </c>
      <c r="E175" s="12" t="s">
        <v>10</v>
      </c>
    </row>
    <row r="176" spans="1:5" x14ac:dyDescent="0.25">
      <c r="A176" s="9" t="s">
        <v>189</v>
      </c>
      <c r="B176" s="10">
        <v>58</v>
      </c>
      <c r="C176" s="11" t="str" cm="1">
        <f t="array" ref="C176">_xlfn.IFS(AND(B176&gt;18,B176&lt;=30),"18-30",AND(B176&gt;30,B176&lt;=50),"31-50",B176&gt;50,"51 plus",TRUE,"")</f>
        <v>51 plus</v>
      </c>
      <c r="D176" s="9" t="s">
        <v>20</v>
      </c>
      <c r="E176" s="9" t="s">
        <v>7</v>
      </c>
    </row>
    <row r="177" spans="1:5" x14ac:dyDescent="0.25">
      <c r="A177" s="12" t="s">
        <v>190</v>
      </c>
      <c r="B177" s="13">
        <v>51</v>
      </c>
      <c r="C177" s="14" t="str" cm="1">
        <f t="array" ref="C177">_xlfn.IFS(AND(B177&gt;18,B177&lt;=30),"18-30",AND(B177&gt;30,B177&lt;=50),"31-50",B177&gt;50,"51 plus",TRUE,"")</f>
        <v>51 plus</v>
      </c>
      <c r="D177" s="12" t="s">
        <v>20</v>
      </c>
      <c r="E177" s="12" t="s">
        <v>7</v>
      </c>
    </row>
    <row r="178" spans="1:5" x14ac:dyDescent="0.25">
      <c r="A178" s="9" t="s">
        <v>191</v>
      </c>
      <c r="B178" s="10">
        <v>66</v>
      </c>
      <c r="C178" s="11" t="str" cm="1">
        <f t="array" ref="C178">_xlfn.IFS(AND(B178&gt;18,B178&lt;=30),"18-30",AND(B178&gt;30,B178&lt;=50),"31-50",B178&gt;50,"51 plus",TRUE,"")</f>
        <v>51 plus</v>
      </c>
      <c r="D178" s="9" t="s">
        <v>20</v>
      </c>
      <c r="E178" s="9" t="s">
        <v>10</v>
      </c>
    </row>
    <row r="179" spans="1:5" x14ac:dyDescent="0.25">
      <c r="A179" s="12" t="s">
        <v>192</v>
      </c>
      <c r="B179" s="13">
        <v>53</v>
      </c>
      <c r="C179" s="14" t="str" cm="1">
        <f t="array" ref="C179">_xlfn.IFS(AND(B179&gt;18,B179&lt;=30),"18-30",AND(B179&gt;30,B179&lt;=50),"31-50",B179&gt;50,"51 plus",TRUE,"")</f>
        <v>51 plus</v>
      </c>
      <c r="D179" s="12" t="s">
        <v>6</v>
      </c>
      <c r="E179" s="12" t="s">
        <v>7</v>
      </c>
    </row>
    <row r="180" spans="1:5" x14ac:dyDescent="0.25">
      <c r="A180" s="9" t="s">
        <v>193</v>
      </c>
      <c r="B180" s="10">
        <v>52</v>
      </c>
      <c r="C180" s="11" t="str" cm="1">
        <f t="array" ref="C180">_xlfn.IFS(AND(B180&gt;18,B180&lt;=30),"18-30",AND(B180&gt;30,B180&lt;=50),"31-50",B180&gt;50,"51 plus",TRUE,"")</f>
        <v>51 plus</v>
      </c>
      <c r="D180" s="9" t="s">
        <v>20</v>
      </c>
      <c r="E180" s="9" t="s">
        <v>7</v>
      </c>
    </row>
    <row r="181" spans="1:5" x14ac:dyDescent="0.25">
      <c r="A181" s="12" t="s">
        <v>194</v>
      </c>
      <c r="B181" s="13">
        <v>53</v>
      </c>
      <c r="C181" s="14" t="str" cm="1">
        <f t="array" ref="C181">_xlfn.IFS(AND(B181&gt;18,B181&lt;=30),"18-30",AND(B181&gt;30,B181&lt;=50),"31-50",B181&gt;50,"51 plus",TRUE,"")</f>
        <v>51 plus</v>
      </c>
      <c r="D181" s="12" t="s">
        <v>6</v>
      </c>
      <c r="E181" s="12" t="s">
        <v>10</v>
      </c>
    </row>
    <row r="182" spans="1:5" x14ac:dyDescent="0.25">
      <c r="A182" s="9" t="s">
        <v>195</v>
      </c>
      <c r="B182" s="10">
        <v>50</v>
      </c>
      <c r="C182" s="11" t="str" cm="1">
        <f t="array" ref="C182">_xlfn.IFS(AND(B182&gt;18,B182&lt;=30),"18-30",AND(B182&gt;30,B182&lt;=50),"31-50",B182&gt;50,"51 plus",TRUE,"")</f>
        <v>31-50</v>
      </c>
      <c r="D182" s="9" t="s">
        <v>20</v>
      </c>
      <c r="E182" s="9" t="s">
        <v>7</v>
      </c>
    </row>
    <row r="183" spans="1:5" x14ac:dyDescent="0.25">
      <c r="A183" s="12" t="s">
        <v>196</v>
      </c>
      <c r="B183" s="13">
        <v>66</v>
      </c>
      <c r="C183" s="14" t="str" cm="1">
        <f t="array" ref="C183">_xlfn.IFS(AND(B183&gt;18,B183&lt;=30),"18-30",AND(B183&gt;30,B183&lt;=50),"31-50",B183&gt;50,"51 plus",TRUE,"")</f>
        <v>51 plus</v>
      </c>
      <c r="D183" s="12" t="s">
        <v>28</v>
      </c>
      <c r="E183" s="12" t="s">
        <v>7</v>
      </c>
    </row>
    <row r="184" spans="1:5" x14ac:dyDescent="0.25">
      <c r="A184" s="9" t="s">
        <v>197</v>
      </c>
      <c r="B184" s="10">
        <v>64</v>
      </c>
      <c r="C184" s="11" t="str" cm="1">
        <f t="array" ref="C184">_xlfn.IFS(AND(B184&gt;18,B184&lt;=30),"18-30",AND(B184&gt;30,B184&lt;=50),"31-50",B184&gt;50,"51 plus",TRUE,"")</f>
        <v>51 plus</v>
      </c>
      <c r="D184" s="9" t="s">
        <v>6</v>
      </c>
      <c r="E184" s="9" t="s">
        <v>10</v>
      </c>
    </row>
    <row r="185" spans="1:5" x14ac:dyDescent="0.25">
      <c r="A185" s="12" t="s">
        <v>198</v>
      </c>
      <c r="B185" s="13">
        <v>57</v>
      </c>
      <c r="C185" s="14" t="str" cm="1">
        <f t="array" ref="C185">_xlfn.IFS(AND(B185&gt;18,B185&lt;=30),"18-30",AND(B185&gt;30,B185&lt;=50),"31-50",B185&gt;50,"51 plus",TRUE,"")</f>
        <v>51 plus</v>
      </c>
      <c r="D185" s="12" t="s">
        <v>28</v>
      </c>
      <c r="E185" s="12" t="s">
        <v>10</v>
      </c>
    </row>
    <row r="186" spans="1:5" x14ac:dyDescent="0.25">
      <c r="A186" s="9" t="s">
        <v>199</v>
      </c>
      <c r="B186" s="10">
        <v>52</v>
      </c>
      <c r="C186" s="11" t="str" cm="1">
        <f t="array" ref="C186">_xlfn.IFS(AND(B186&gt;18,B186&lt;=30),"18-30",AND(B186&gt;30,B186&lt;=50),"31-50",B186&gt;50,"51 plus",TRUE,"")</f>
        <v>51 plus</v>
      </c>
      <c r="D186" s="9" t="s">
        <v>20</v>
      </c>
      <c r="E186" s="9" t="s">
        <v>10</v>
      </c>
    </row>
    <row r="187" spans="1:5" x14ac:dyDescent="0.25">
      <c r="A187" s="12" t="s">
        <v>200</v>
      </c>
      <c r="B187" s="13">
        <v>76</v>
      </c>
      <c r="C187" s="14" t="str" cm="1">
        <f t="array" ref="C187">_xlfn.IFS(AND(B187&gt;18,B187&lt;=30),"18-30",AND(B187&gt;30,B187&lt;=50),"31-50",B187&gt;50,"51 plus",TRUE,"")</f>
        <v>51 plus</v>
      </c>
      <c r="D187" s="12" t="s">
        <v>6</v>
      </c>
      <c r="E187" s="12" t="s">
        <v>7</v>
      </c>
    </row>
    <row r="188" spans="1:5" x14ac:dyDescent="0.25">
      <c r="A188" s="9" t="s">
        <v>201</v>
      </c>
      <c r="B188" s="10">
        <v>52</v>
      </c>
      <c r="C188" s="11" t="str" cm="1">
        <f t="array" ref="C188">_xlfn.IFS(AND(B188&gt;18,B188&lt;=30),"18-30",AND(B188&gt;30,B188&lt;=50),"31-50",B188&gt;50,"51 plus",TRUE,"")</f>
        <v>51 plus</v>
      </c>
      <c r="D188" s="9" t="s">
        <v>6</v>
      </c>
      <c r="E188" s="9" t="s">
        <v>7</v>
      </c>
    </row>
    <row r="189" spans="1:5" x14ac:dyDescent="0.25">
      <c r="A189" s="12" t="s">
        <v>202</v>
      </c>
      <c r="B189" s="13">
        <v>50</v>
      </c>
      <c r="C189" s="14" t="str" cm="1">
        <f t="array" ref="C189">_xlfn.IFS(AND(B189&gt;18,B189&lt;=30),"18-30",AND(B189&gt;30,B189&lt;=50),"31-50",B189&gt;50,"51 plus",TRUE,"")</f>
        <v>31-50</v>
      </c>
      <c r="D189" s="12" t="s">
        <v>20</v>
      </c>
      <c r="E189" s="12" t="s">
        <v>7</v>
      </c>
    </row>
  </sheetData>
  <dataValidations count="1">
    <dataValidation type="list" errorStyle="warning" allowBlank="1" showInputMessage="1" showErrorMessage="1" error="Please answer with a Yes or No" sqref="E1:E189" xr:uid="{02F8B26E-F4DB-4039-8C96-D40BA3FCD66E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E618-3F7C-48D0-8567-26D069D9FF5D}">
  <dimension ref="A1:Q222"/>
  <sheetViews>
    <sheetView zoomScaleNormal="100" workbookViewId="0"/>
  </sheetViews>
  <sheetFormatPr defaultRowHeight="15" x14ac:dyDescent="0.25"/>
  <cols>
    <col min="1" max="1" width="10.42578125" style="2" bestFit="1" customWidth="1"/>
    <col min="2" max="2" width="14.140625" style="2" bestFit="1" customWidth="1"/>
    <col min="3" max="3" width="8.42578125" style="2" bestFit="1" customWidth="1"/>
    <col min="4" max="4" width="9.140625" style="5"/>
    <col min="5" max="5" width="11.85546875" style="5" bestFit="1" customWidth="1"/>
    <col min="6" max="6" width="10.85546875" style="2" bestFit="1" customWidth="1"/>
    <col min="7" max="7" width="20" customWidth="1"/>
    <col min="8" max="8" width="8.7109375" style="1" bestFit="1" customWidth="1"/>
    <col min="9" max="9" width="10" style="1" bestFit="1" customWidth="1"/>
    <col min="10" max="10" width="13.28515625" style="5" bestFit="1" customWidth="1"/>
    <col min="11" max="11" width="14.28515625" style="3" bestFit="1" customWidth="1"/>
    <col min="12" max="12" width="7.85546875" style="3" bestFit="1" customWidth="1"/>
    <col min="13" max="13" width="12.140625" style="3" bestFit="1" customWidth="1"/>
    <col min="14" max="14" width="13.85546875" style="3" bestFit="1" customWidth="1"/>
    <col min="15" max="15" width="6.85546875" style="2" bestFit="1" customWidth="1"/>
    <col min="16" max="16" width="15.28515625" style="2" bestFit="1" customWidth="1"/>
    <col min="17" max="17" width="14.42578125" style="2" bestFit="1" customWidth="1"/>
  </cols>
  <sheetData>
    <row r="1" spans="1:17" s="4" customFormat="1" x14ac:dyDescent="0.25">
      <c r="A1" s="16" t="s">
        <v>203</v>
      </c>
      <c r="B1" s="16" t="s">
        <v>204</v>
      </c>
      <c r="C1" s="16" t="s">
        <v>0</v>
      </c>
      <c r="D1" s="27" t="s">
        <v>205</v>
      </c>
      <c r="E1" s="27" t="s">
        <v>206</v>
      </c>
      <c r="F1" s="16" t="s">
        <v>207</v>
      </c>
      <c r="G1" s="28" t="s">
        <v>208</v>
      </c>
      <c r="H1" s="15" t="s">
        <v>209</v>
      </c>
      <c r="I1" s="15" t="s">
        <v>210</v>
      </c>
      <c r="J1" s="27" t="s">
        <v>211</v>
      </c>
      <c r="K1" s="17" t="s">
        <v>212</v>
      </c>
      <c r="L1" s="17" t="s">
        <v>213</v>
      </c>
      <c r="M1" s="17" t="s">
        <v>214</v>
      </c>
      <c r="N1" s="17" t="s">
        <v>215</v>
      </c>
      <c r="O1" s="16" t="s">
        <v>216</v>
      </c>
      <c r="P1" s="16" t="s">
        <v>217</v>
      </c>
      <c r="Q1" s="16" t="s">
        <v>218</v>
      </c>
    </row>
    <row r="2" spans="1:17" x14ac:dyDescent="0.25">
      <c r="A2" s="19" t="s">
        <v>219</v>
      </c>
      <c r="B2" s="19" t="s">
        <v>220</v>
      </c>
      <c r="C2" s="19" t="s">
        <v>30</v>
      </c>
      <c r="D2" s="29">
        <v>108</v>
      </c>
      <c r="E2" s="29">
        <v>1</v>
      </c>
      <c r="F2" s="19" t="s">
        <v>221</v>
      </c>
      <c r="G2" s="30" t="str">
        <f>VLOOKUP(C2,Guests!$A$2:$E$189,4,0)</f>
        <v>Greece</v>
      </c>
      <c r="H2" s="18">
        <v>45814</v>
      </c>
      <c r="I2" s="18">
        <v>45820</v>
      </c>
      <c r="J2" s="29">
        <v>6</v>
      </c>
      <c r="K2" s="20">
        <v>30</v>
      </c>
      <c r="L2" s="20">
        <v>0</v>
      </c>
      <c r="M2" s="20">
        <f t="shared" ref="M2:M65" si="0">N2-L2</f>
        <v>180</v>
      </c>
      <c r="N2" s="20">
        <f t="shared" ref="N2:N65" si="1">J2*K2</f>
        <v>180</v>
      </c>
      <c r="O2" s="19" t="s">
        <v>222</v>
      </c>
      <c r="P2" s="19" t="s">
        <v>223</v>
      </c>
      <c r="Q2" s="19" t="s">
        <v>224</v>
      </c>
    </row>
    <row r="3" spans="1:17" x14ac:dyDescent="0.25">
      <c r="A3" s="19" t="s">
        <v>225</v>
      </c>
      <c r="B3" s="19" t="s">
        <v>220</v>
      </c>
      <c r="C3" s="19" t="s">
        <v>26</v>
      </c>
      <c r="D3" s="29">
        <v>104</v>
      </c>
      <c r="E3" s="29">
        <v>2</v>
      </c>
      <c r="F3" s="19" t="s">
        <v>226</v>
      </c>
      <c r="G3" s="30" t="str">
        <f>VLOOKUP(C3,Guests!$A$2:$E$189,4,0)</f>
        <v>Serbia</v>
      </c>
      <c r="H3" s="18">
        <v>45814</v>
      </c>
      <c r="I3" s="18">
        <v>45816</v>
      </c>
      <c r="J3" s="29">
        <v>2</v>
      </c>
      <c r="K3" s="20">
        <v>30</v>
      </c>
      <c r="L3" s="20">
        <v>0</v>
      </c>
      <c r="M3" s="20">
        <f t="shared" si="0"/>
        <v>60</v>
      </c>
      <c r="N3" s="20">
        <f t="shared" si="1"/>
        <v>60</v>
      </c>
      <c r="O3" s="19" t="s">
        <v>222</v>
      </c>
      <c r="P3" s="19" t="s">
        <v>227</v>
      </c>
      <c r="Q3" s="19" t="s">
        <v>228</v>
      </c>
    </row>
    <row r="4" spans="1:17" x14ac:dyDescent="0.25">
      <c r="A4" s="19" t="s">
        <v>229</v>
      </c>
      <c r="B4" s="19" t="s">
        <v>220</v>
      </c>
      <c r="C4" s="19" t="s">
        <v>26</v>
      </c>
      <c r="D4" s="29">
        <v>102</v>
      </c>
      <c r="E4" s="29">
        <v>3</v>
      </c>
      <c r="F4" s="19" t="s">
        <v>230</v>
      </c>
      <c r="G4" s="30" t="str">
        <f>VLOOKUP(C4,Guests!$A$2:$E$189,4,0)</f>
        <v>Serbia</v>
      </c>
      <c r="H4" s="18">
        <v>45814</v>
      </c>
      <c r="I4" s="18">
        <v>45816</v>
      </c>
      <c r="J4" s="29">
        <v>2</v>
      </c>
      <c r="K4" s="20">
        <v>35</v>
      </c>
      <c r="L4" s="20">
        <v>0</v>
      </c>
      <c r="M4" s="20">
        <f t="shared" si="0"/>
        <v>70</v>
      </c>
      <c r="N4" s="20">
        <f t="shared" si="1"/>
        <v>70</v>
      </c>
      <c r="O4" s="19" t="s">
        <v>222</v>
      </c>
      <c r="P4" s="19" t="s">
        <v>227</v>
      </c>
      <c r="Q4" s="19" t="s">
        <v>228</v>
      </c>
    </row>
    <row r="5" spans="1:17" x14ac:dyDescent="0.25">
      <c r="A5" s="19" t="s">
        <v>231</v>
      </c>
      <c r="B5" s="19" t="s">
        <v>220</v>
      </c>
      <c r="C5" s="19" t="s">
        <v>19</v>
      </c>
      <c r="D5" s="29">
        <v>5</v>
      </c>
      <c r="E5" s="29">
        <v>4</v>
      </c>
      <c r="F5" s="19" t="s">
        <v>230</v>
      </c>
      <c r="G5" s="30" t="str">
        <f>VLOOKUP(C5,Guests!$A$2:$E$189,4,0)</f>
        <v>MKD</v>
      </c>
      <c r="H5" s="18">
        <v>45818</v>
      </c>
      <c r="I5" s="18">
        <v>45830</v>
      </c>
      <c r="J5" s="29">
        <v>12</v>
      </c>
      <c r="K5" s="20">
        <v>40</v>
      </c>
      <c r="L5" s="20">
        <v>0</v>
      </c>
      <c r="M5" s="20">
        <f t="shared" si="0"/>
        <v>480</v>
      </c>
      <c r="N5" s="20">
        <f t="shared" si="1"/>
        <v>480</v>
      </c>
      <c r="O5" s="19" t="s">
        <v>222</v>
      </c>
      <c r="P5" s="19" t="s">
        <v>227</v>
      </c>
      <c r="Q5" s="19" t="s">
        <v>228</v>
      </c>
    </row>
    <row r="6" spans="1:17" x14ac:dyDescent="0.25">
      <c r="A6" s="19" t="s">
        <v>232</v>
      </c>
      <c r="B6" s="19" t="s">
        <v>220</v>
      </c>
      <c r="C6" s="19" t="s">
        <v>11</v>
      </c>
      <c r="D6" s="29">
        <v>108</v>
      </c>
      <c r="E6" s="29">
        <v>2</v>
      </c>
      <c r="F6" s="19" t="s">
        <v>226</v>
      </c>
      <c r="G6" s="30" t="str">
        <f>VLOOKUP(C6,Guests!$A$2:$E$189,4,0)</f>
        <v>Serbia</v>
      </c>
      <c r="H6" s="18">
        <v>45821</v>
      </c>
      <c r="I6" s="18">
        <v>45831</v>
      </c>
      <c r="J6" s="29">
        <v>10</v>
      </c>
      <c r="K6" s="20">
        <v>30</v>
      </c>
      <c r="L6" s="20">
        <v>0</v>
      </c>
      <c r="M6" s="20">
        <f t="shared" si="0"/>
        <v>300</v>
      </c>
      <c r="N6" s="20">
        <f t="shared" si="1"/>
        <v>300</v>
      </c>
      <c r="O6" s="19" t="s">
        <v>222</v>
      </c>
      <c r="P6" s="19" t="s">
        <v>227</v>
      </c>
      <c r="Q6" s="19" t="s">
        <v>228</v>
      </c>
    </row>
    <row r="7" spans="1:17" x14ac:dyDescent="0.25">
      <c r="A7" s="19" t="s">
        <v>233</v>
      </c>
      <c r="B7" s="19" t="s">
        <v>220</v>
      </c>
      <c r="C7" s="19" t="s">
        <v>27</v>
      </c>
      <c r="D7" s="29">
        <v>102</v>
      </c>
      <c r="E7" s="29">
        <v>3</v>
      </c>
      <c r="F7" s="19" t="s">
        <v>230</v>
      </c>
      <c r="G7" s="30" t="str">
        <f>VLOOKUP(C7,Guests!$A$2:$E$189,4,0)</f>
        <v>Greece</v>
      </c>
      <c r="H7" s="18">
        <v>45823</v>
      </c>
      <c r="I7" s="18">
        <v>45829</v>
      </c>
      <c r="J7" s="29">
        <v>6</v>
      </c>
      <c r="K7" s="20">
        <v>40</v>
      </c>
      <c r="L7" s="20">
        <v>0</v>
      </c>
      <c r="M7" s="20">
        <f t="shared" si="0"/>
        <v>240</v>
      </c>
      <c r="N7" s="20">
        <f t="shared" si="1"/>
        <v>240</v>
      </c>
      <c r="O7" s="19" t="s">
        <v>222</v>
      </c>
      <c r="P7" s="19" t="s">
        <v>223</v>
      </c>
      <c r="Q7" s="19" t="s">
        <v>224</v>
      </c>
    </row>
    <row r="8" spans="1:17" x14ac:dyDescent="0.25">
      <c r="A8" s="19" t="s">
        <v>234</v>
      </c>
      <c r="B8" s="19" t="s">
        <v>220</v>
      </c>
      <c r="C8" s="19" t="s">
        <v>32</v>
      </c>
      <c r="D8" s="29">
        <v>8</v>
      </c>
      <c r="E8" s="29">
        <v>3</v>
      </c>
      <c r="F8" s="19" t="s">
        <v>230</v>
      </c>
      <c r="G8" s="30" t="str">
        <f>VLOOKUP(C8,Guests!$A$2:$E$189,4,0)</f>
        <v>Serbia</v>
      </c>
      <c r="H8" s="18">
        <v>45828</v>
      </c>
      <c r="I8" s="18">
        <v>45837</v>
      </c>
      <c r="J8" s="29">
        <v>9</v>
      </c>
      <c r="K8" s="20">
        <v>37</v>
      </c>
      <c r="L8" s="20">
        <v>0</v>
      </c>
      <c r="M8" s="20">
        <f t="shared" si="0"/>
        <v>333</v>
      </c>
      <c r="N8" s="20">
        <f t="shared" si="1"/>
        <v>333</v>
      </c>
      <c r="O8" s="19" t="s">
        <v>222</v>
      </c>
      <c r="P8" s="19" t="s">
        <v>235</v>
      </c>
      <c r="Q8" s="19" t="s">
        <v>259</v>
      </c>
    </row>
    <row r="9" spans="1:17" x14ac:dyDescent="0.25">
      <c r="A9" s="19" t="s">
        <v>236</v>
      </c>
      <c r="B9" s="19" t="s">
        <v>220</v>
      </c>
      <c r="C9" s="19" t="s">
        <v>31</v>
      </c>
      <c r="D9" s="29">
        <v>5</v>
      </c>
      <c r="E9" s="29">
        <v>4</v>
      </c>
      <c r="F9" s="19" t="s">
        <v>230</v>
      </c>
      <c r="G9" s="30" t="str">
        <f>VLOOKUP(C9,Guests!$A$2:$E$189,4,0)</f>
        <v>Greece</v>
      </c>
      <c r="H9" s="18">
        <v>45830</v>
      </c>
      <c r="I9" s="18">
        <v>45836</v>
      </c>
      <c r="J9" s="29">
        <v>6</v>
      </c>
      <c r="K9" s="20">
        <v>45</v>
      </c>
      <c r="L9" s="20">
        <v>0</v>
      </c>
      <c r="M9" s="20">
        <f t="shared" si="0"/>
        <v>270</v>
      </c>
      <c r="N9" s="20">
        <f t="shared" si="1"/>
        <v>270</v>
      </c>
      <c r="O9" s="19" t="s">
        <v>222</v>
      </c>
      <c r="P9" s="19" t="s">
        <v>223</v>
      </c>
      <c r="Q9" s="19" t="s">
        <v>224</v>
      </c>
    </row>
    <row r="10" spans="1:17" x14ac:dyDescent="0.25">
      <c r="A10" s="19" t="s">
        <v>237</v>
      </c>
      <c r="B10" s="19" t="s">
        <v>220</v>
      </c>
      <c r="C10" s="19" t="s">
        <v>29</v>
      </c>
      <c r="D10" s="29">
        <v>2</v>
      </c>
      <c r="E10" s="29">
        <v>2</v>
      </c>
      <c r="F10" s="19" t="s">
        <v>226</v>
      </c>
      <c r="G10" s="30" t="str">
        <f>VLOOKUP(C10,Guests!$A$2:$E$189,4,0)</f>
        <v>Greece</v>
      </c>
      <c r="H10" s="18">
        <v>45832</v>
      </c>
      <c r="I10" s="18">
        <v>45838</v>
      </c>
      <c r="J10" s="29">
        <v>6</v>
      </c>
      <c r="K10" s="20">
        <v>35</v>
      </c>
      <c r="L10" s="20">
        <v>0</v>
      </c>
      <c r="M10" s="20">
        <f t="shared" si="0"/>
        <v>210</v>
      </c>
      <c r="N10" s="20">
        <f t="shared" si="1"/>
        <v>210</v>
      </c>
      <c r="O10" s="19" t="s">
        <v>222</v>
      </c>
      <c r="P10" s="19" t="s">
        <v>223</v>
      </c>
      <c r="Q10" s="19" t="s">
        <v>224</v>
      </c>
    </row>
    <row r="11" spans="1:17" x14ac:dyDescent="0.25">
      <c r="A11" s="19" t="s">
        <v>238</v>
      </c>
      <c r="B11" s="19" t="s">
        <v>220</v>
      </c>
      <c r="C11" s="19" t="s">
        <v>25</v>
      </c>
      <c r="D11" s="29">
        <v>3</v>
      </c>
      <c r="E11" s="29">
        <v>2</v>
      </c>
      <c r="F11" s="19" t="s">
        <v>226</v>
      </c>
      <c r="G11" s="30" t="str">
        <f>VLOOKUP(C11,Guests!$A$2:$E$189,4,0)</f>
        <v>Serbia</v>
      </c>
      <c r="H11" s="18">
        <v>45832</v>
      </c>
      <c r="I11" s="18">
        <v>45839</v>
      </c>
      <c r="J11" s="29">
        <v>7</v>
      </c>
      <c r="K11" s="20">
        <v>30</v>
      </c>
      <c r="L11" s="20">
        <v>0</v>
      </c>
      <c r="M11" s="20">
        <f t="shared" si="0"/>
        <v>210</v>
      </c>
      <c r="N11" s="20">
        <f t="shared" si="1"/>
        <v>210</v>
      </c>
      <c r="O11" s="19" t="s">
        <v>222</v>
      </c>
      <c r="P11" s="19" t="s">
        <v>227</v>
      </c>
      <c r="Q11" s="19" t="s">
        <v>228</v>
      </c>
    </row>
    <row r="12" spans="1:17" x14ac:dyDescent="0.25">
      <c r="A12" s="19" t="s">
        <v>239</v>
      </c>
      <c r="B12" s="19" t="s">
        <v>220</v>
      </c>
      <c r="C12" s="19" t="s">
        <v>25</v>
      </c>
      <c r="D12" s="29">
        <v>4</v>
      </c>
      <c r="E12" s="29">
        <v>2</v>
      </c>
      <c r="F12" s="19" t="s">
        <v>226</v>
      </c>
      <c r="G12" s="30" t="str">
        <f>VLOOKUP(C12,Guests!$A$2:$E$189,4,0)</f>
        <v>Serbia</v>
      </c>
      <c r="H12" s="18">
        <v>45832</v>
      </c>
      <c r="I12" s="18">
        <v>45839</v>
      </c>
      <c r="J12" s="29">
        <v>7</v>
      </c>
      <c r="K12" s="20">
        <v>30</v>
      </c>
      <c r="L12" s="20">
        <v>0</v>
      </c>
      <c r="M12" s="20">
        <f t="shared" si="0"/>
        <v>210</v>
      </c>
      <c r="N12" s="20">
        <f t="shared" si="1"/>
        <v>210</v>
      </c>
      <c r="O12" s="19" t="s">
        <v>222</v>
      </c>
      <c r="P12" s="19" t="s">
        <v>227</v>
      </c>
      <c r="Q12" s="19" t="s">
        <v>228</v>
      </c>
    </row>
    <row r="13" spans="1:17" x14ac:dyDescent="0.25">
      <c r="A13" s="19" t="s">
        <v>240</v>
      </c>
      <c r="B13" s="19" t="s">
        <v>220</v>
      </c>
      <c r="C13" s="19" t="s">
        <v>33</v>
      </c>
      <c r="D13" s="29">
        <v>102</v>
      </c>
      <c r="E13" s="29">
        <v>2</v>
      </c>
      <c r="F13" s="19" t="s">
        <v>226</v>
      </c>
      <c r="G13" s="30" t="str">
        <f>VLOOKUP(C13,Guests!$A$2:$E$189,4,0)</f>
        <v>Serbia</v>
      </c>
      <c r="H13" s="18">
        <v>45832</v>
      </c>
      <c r="I13" s="18">
        <v>45842</v>
      </c>
      <c r="J13" s="29">
        <v>10</v>
      </c>
      <c r="K13" s="20">
        <v>32</v>
      </c>
      <c r="L13" s="20">
        <v>0</v>
      </c>
      <c r="M13" s="20">
        <f t="shared" si="0"/>
        <v>320</v>
      </c>
      <c r="N13" s="20">
        <f t="shared" si="1"/>
        <v>320</v>
      </c>
      <c r="O13" s="19" t="s">
        <v>222</v>
      </c>
      <c r="P13" s="19" t="s">
        <v>227</v>
      </c>
      <c r="Q13" s="19" t="s">
        <v>259</v>
      </c>
    </row>
    <row r="14" spans="1:17" x14ac:dyDescent="0.25">
      <c r="A14" s="19" t="s">
        <v>241</v>
      </c>
      <c r="B14" s="19" t="s">
        <v>220</v>
      </c>
      <c r="C14" s="19" t="s">
        <v>45</v>
      </c>
      <c r="D14" s="29">
        <v>1</v>
      </c>
      <c r="E14" s="29">
        <v>2</v>
      </c>
      <c r="F14" s="19" t="s">
        <v>226</v>
      </c>
      <c r="G14" s="30" t="str">
        <f>VLOOKUP(C14,Guests!$A$2:$E$189,4,0)</f>
        <v>Greece</v>
      </c>
      <c r="H14" s="18">
        <v>45833</v>
      </c>
      <c r="I14" s="18">
        <v>45839</v>
      </c>
      <c r="J14" s="29">
        <v>6</v>
      </c>
      <c r="K14" s="20">
        <v>35</v>
      </c>
      <c r="L14" s="20">
        <v>0</v>
      </c>
      <c r="M14" s="20">
        <f t="shared" si="0"/>
        <v>210</v>
      </c>
      <c r="N14" s="20">
        <f t="shared" si="1"/>
        <v>210</v>
      </c>
      <c r="O14" s="19" t="s">
        <v>222</v>
      </c>
      <c r="P14" s="19" t="s">
        <v>223</v>
      </c>
      <c r="Q14" s="19" t="s">
        <v>224</v>
      </c>
    </row>
    <row r="15" spans="1:17" x14ac:dyDescent="0.25">
      <c r="A15" s="19" t="s">
        <v>242</v>
      </c>
      <c r="B15" s="19" t="s">
        <v>220</v>
      </c>
      <c r="C15" s="19" t="s">
        <v>24</v>
      </c>
      <c r="D15" s="29">
        <v>103</v>
      </c>
      <c r="E15" s="29">
        <v>4</v>
      </c>
      <c r="F15" s="19" t="s">
        <v>230</v>
      </c>
      <c r="G15" s="30" t="str">
        <f>VLOOKUP(C15,Guests!$A$2:$E$189,4,0)</f>
        <v>MKD</v>
      </c>
      <c r="H15" s="18">
        <v>45839</v>
      </c>
      <c r="I15" s="18">
        <v>45849</v>
      </c>
      <c r="J15" s="29">
        <v>10</v>
      </c>
      <c r="K15" s="20">
        <v>50</v>
      </c>
      <c r="L15" s="20">
        <v>0</v>
      </c>
      <c r="M15" s="20">
        <f t="shared" si="0"/>
        <v>500</v>
      </c>
      <c r="N15" s="20">
        <f t="shared" si="1"/>
        <v>500</v>
      </c>
      <c r="O15" s="19" t="s">
        <v>243</v>
      </c>
      <c r="P15" s="19" t="s">
        <v>227</v>
      </c>
      <c r="Q15" s="19" t="s">
        <v>259</v>
      </c>
    </row>
    <row r="16" spans="1:17" x14ac:dyDescent="0.25">
      <c r="A16" s="19" t="s">
        <v>244</v>
      </c>
      <c r="B16" s="19" t="s">
        <v>220</v>
      </c>
      <c r="C16" s="19" t="s">
        <v>24</v>
      </c>
      <c r="D16" s="29">
        <v>104</v>
      </c>
      <c r="E16" s="29">
        <v>2</v>
      </c>
      <c r="F16" s="19" t="s">
        <v>226</v>
      </c>
      <c r="G16" s="30" t="str">
        <f>VLOOKUP(C16,Guests!$A$2:$E$189,4,0)</f>
        <v>MKD</v>
      </c>
      <c r="H16" s="18">
        <v>45839</v>
      </c>
      <c r="I16" s="18">
        <v>45849</v>
      </c>
      <c r="J16" s="29">
        <v>10</v>
      </c>
      <c r="K16" s="20">
        <v>40</v>
      </c>
      <c r="L16" s="20">
        <v>0</v>
      </c>
      <c r="M16" s="20">
        <f t="shared" si="0"/>
        <v>400</v>
      </c>
      <c r="N16" s="20">
        <f t="shared" si="1"/>
        <v>400</v>
      </c>
      <c r="O16" s="19" t="s">
        <v>243</v>
      </c>
      <c r="P16" s="19" t="s">
        <v>227</v>
      </c>
      <c r="Q16" s="19" t="s">
        <v>259</v>
      </c>
    </row>
    <row r="17" spans="1:17" x14ac:dyDescent="0.25">
      <c r="A17" s="19" t="s">
        <v>245</v>
      </c>
      <c r="B17" s="19" t="s">
        <v>220</v>
      </c>
      <c r="C17" s="19" t="s">
        <v>22</v>
      </c>
      <c r="D17" s="29">
        <v>5</v>
      </c>
      <c r="E17" s="29">
        <v>6</v>
      </c>
      <c r="F17" s="19" t="s">
        <v>230</v>
      </c>
      <c r="G17" s="30" t="str">
        <f>VLOOKUP(C17,Guests!$A$2:$E$189,4,0)</f>
        <v>MKD</v>
      </c>
      <c r="H17" s="18">
        <v>45840</v>
      </c>
      <c r="I17" s="18">
        <v>45847</v>
      </c>
      <c r="J17" s="29">
        <v>7</v>
      </c>
      <c r="K17" s="20">
        <v>62</v>
      </c>
      <c r="L17" s="20">
        <v>60</v>
      </c>
      <c r="M17" s="20">
        <f t="shared" si="0"/>
        <v>374</v>
      </c>
      <c r="N17" s="20">
        <f t="shared" si="1"/>
        <v>434</v>
      </c>
      <c r="O17" s="19" t="s">
        <v>243</v>
      </c>
      <c r="P17" s="19" t="s">
        <v>246</v>
      </c>
      <c r="Q17" s="19" t="s">
        <v>259</v>
      </c>
    </row>
    <row r="18" spans="1:17" x14ac:dyDescent="0.25">
      <c r="A18" s="19" t="s">
        <v>247</v>
      </c>
      <c r="B18" s="19" t="s">
        <v>220</v>
      </c>
      <c r="C18" s="19" t="s">
        <v>15</v>
      </c>
      <c r="D18" s="29">
        <v>103</v>
      </c>
      <c r="E18" s="29">
        <v>4</v>
      </c>
      <c r="F18" s="19" t="s">
        <v>230</v>
      </c>
      <c r="G18" s="30" t="str">
        <f>VLOOKUP(C18,Guests!$A$2:$E$189,4,0)</f>
        <v>Serbia</v>
      </c>
      <c r="H18" s="18">
        <v>45849</v>
      </c>
      <c r="I18" s="18">
        <v>45858</v>
      </c>
      <c r="J18" s="29">
        <v>9</v>
      </c>
      <c r="K18" s="20">
        <v>52</v>
      </c>
      <c r="L18" s="20">
        <v>50</v>
      </c>
      <c r="M18" s="20">
        <f t="shared" si="0"/>
        <v>418</v>
      </c>
      <c r="N18" s="20">
        <f t="shared" si="1"/>
        <v>468</v>
      </c>
      <c r="O18" s="19" t="s">
        <v>243</v>
      </c>
      <c r="P18" s="19" t="s">
        <v>227</v>
      </c>
      <c r="Q18" s="19" t="s">
        <v>228</v>
      </c>
    </row>
    <row r="19" spans="1:17" x14ac:dyDescent="0.25">
      <c r="A19" s="19" t="s">
        <v>248</v>
      </c>
      <c r="B19" s="19" t="s">
        <v>220</v>
      </c>
      <c r="C19" s="19" t="s">
        <v>35</v>
      </c>
      <c r="D19" s="29">
        <v>102</v>
      </c>
      <c r="E19" s="29">
        <v>2</v>
      </c>
      <c r="F19" s="19" t="s">
        <v>226</v>
      </c>
      <c r="G19" s="30" t="str">
        <f>VLOOKUP(C19,Guests!$A$2:$E$189,4,0)</f>
        <v>Serbia</v>
      </c>
      <c r="H19" s="18">
        <v>45845</v>
      </c>
      <c r="I19" s="18">
        <v>45855</v>
      </c>
      <c r="J19" s="29">
        <v>10</v>
      </c>
      <c r="K19" s="20">
        <v>42</v>
      </c>
      <c r="L19" s="20">
        <v>0</v>
      </c>
      <c r="M19" s="20">
        <f t="shared" si="0"/>
        <v>420</v>
      </c>
      <c r="N19" s="20">
        <f t="shared" si="1"/>
        <v>420</v>
      </c>
      <c r="O19" s="19" t="s">
        <v>243</v>
      </c>
      <c r="P19" s="19" t="s">
        <v>235</v>
      </c>
      <c r="Q19" s="19" t="s">
        <v>259</v>
      </c>
    </row>
    <row r="20" spans="1:17" x14ac:dyDescent="0.25">
      <c r="A20" s="19" t="s">
        <v>249</v>
      </c>
      <c r="B20" s="19" t="s">
        <v>220</v>
      </c>
      <c r="C20" s="19" t="s">
        <v>13</v>
      </c>
      <c r="D20" s="29">
        <v>5</v>
      </c>
      <c r="E20" s="29">
        <v>3</v>
      </c>
      <c r="F20" s="19" t="s">
        <v>230</v>
      </c>
      <c r="G20" s="30" t="str">
        <f>VLOOKUP(C20,Guests!$A$2:$E$189,4,0)</f>
        <v>Austria</v>
      </c>
      <c r="H20" s="18">
        <v>45847</v>
      </c>
      <c r="I20" s="18">
        <v>45862</v>
      </c>
      <c r="J20" s="29">
        <v>15</v>
      </c>
      <c r="K20" s="20">
        <v>50</v>
      </c>
      <c r="L20" s="20">
        <v>0</v>
      </c>
      <c r="M20" s="20">
        <f t="shared" si="0"/>
        <v>750</v>
      </c>
      <c r="N20" s="20">
        <f t="shared" si="1"/>
        <v>750</v>
      </c>
      <c r="O20" s="19" t="s">
        <v>243</v>
      </c>
      <c r="P20" s="19" t="s">
        <v>227</v>
      </c>
      <c r="Q20" s="19" t="s">
        <v>228</v>
      </c>
    </row>
    <row r="21" spans="1:17" x14ac:dyDescent="0.25">
      <c r="A21" s="19" t="s">
        <v>250</v>
      </c>
      <c r="B21" s="19" t="s">
        <v>220</v>
      </c>
      <c r="C21" s="19" t="s">
        <v>5</v>
      </c>
      <c r="D21" s="29">
        <v>7</v>
      </c>
      <c r="E21" s="29">
        <v>3</v>
      </c>
      <c r="F21" s="19" t="s">
        <v>230</v>
      </c>
      <c r="G21" s="30" t="str">
        <f>VLOOKUP(C21,Guests!$A$2:$E$189,4,0)</f>
        <v>Serbia</v>
      </c>
      <c r="H21" s="18">
        <v>45849</v>
      </c>
      <c r="I21" s="18">
        <v>45863</v>
      </c>
      <c r="J21" s="29">
        <v>14</v>
      </c>
      <c r="K21" s="20">
        <v>50.213999999999999</v>
      </c>
      <c r="L21" s="20">
        <v>45</v>
      </c>
      <c r="M21" s="20">
        <f t="shared" si="0"/>
        <v>657.99599999999998</v>
      </c>
      <c r="N21" s="20">
        <f t="shared" si="1"/>
        <v>702.99599999999998</v>
      </c>
      <c r="O21" s="19" t="s">
        <v>243</v>
      </c>
      <c r="P21" s="19" t="s">
        <v>227</v>
      </c>
      <c r="Q21" s="19" t="s">
        <v>228</v>
      </c>
    </row>
    <row r="22" spans="1:17" x14ac:dyDescent="0.25">
      <c r="A22" s="19" t="s">
        <v>251</v>
      </c>
      <c r="B22" s="19" t="s">
        <v>220</v>
      </c>
      <c r="C22" s="19" t="s">
        <v>23</v>
      </c>
      <c r="D22" s="29">
        <v>4</v>
      </c>
      <c r="E22" s="29">
        <v>3</v>
      </c>
      <c r="F22" s="19" t="s">
        <v>230</v>
      </c>
      <c r="G22" s="30" t="str">
        <f>VLOOKUP(C22,Guests!$A$2:$E$189,4,0)</f>
        <v>Serbia</v>
      </c>
      <c r="H22" s="18">
        <v>45851</v>
      </c>
      <c r="I22" s="18">
        <v>45861</v>
      </c>
      <c r="J22" s="29">
        <v>10</v>
      </c>
      <c r="K22" s="20">
        <v>51.5</v>
      </c>
      <c r="L22" s="20">
        <v>0</v>
      </c>
      <c r="M22" s="20">
        <f t="shared" si="0"/>
        <v>515</v>
      </c>
      <c r="N22" s="20">
        <f t="shared" si="1"/>
        <v>515</v>
      </c>
      <c r="O22" s="19" t="s">
        <v>243</v>
      </c>
      <c r="P22" s="19" t="s">
        <v>235</v>
      </c>
      <c r="Q22" s="19" t="s">
        <v>259</v>
      </c>
    </row>
    <row r="23" spans="1:17" x14ac:dyDescent="0.25">
      <c r="A23" s="19" t="s">
        <v>252</v>
      </c>
      <c r="B23" s="19" t="s">
        <v>220</v>
      </c>
      <c r="C23" s="19" t="s">
        <v>119</v>
      </c>
      <c r="D23" s="29">
        <v>1</v>
      </c>
      <c r="E23" s="29">
        <v>4</v>
      </c>
      <c r="F23" s="19" t="s">
        <v>230</v>
      </c>
      <c r="G23" s="30" t="str">
        <f>VLOOKUP(C23,Guests!$A$2:$E$189,4,0)</f>
        <v>Serbia</v>
      </c>
      <c r="H23" s="18">
        <v>45851</v>
      </c>
      <c r="I23" s="18">
        <v>45861</v>
      </c>
      <c r="J23" s="29">
        <v>10</v>
      </c>
      <c r="K23" s="20">
        <v>51.5</v>
      </c>
      <c r="L23" s="20">
        <v>0</v>
      </c>
      <c r="M23" s="20">
        <f t="shared" si="0"/>
        <v>515</v>
      </c>
      <c r="N23" s="20">
        <f t="shared" si="1"/>
        <v>515</v>
      </c>
      <c r="O23" s="19" t="s">
        <v>243</v>
      </c>
      <c r="P23" s="19" t="s">
        <v>235</v>
      </c>
      <c r="Q23" s="19" t="s">
        <v>259</v>
      </c>
    </row>
    <row r="24" spans="1:17" x14ac:dyDescent="0.25">
      <c r="A24" s="19" t="s">
        <v>253</v>
      </c>
      <c r="B24" s="19" t="s">
        <v>220</v>
      </c>
      <c r="C24" s="19" t="s">
        <v>36</v>
      </c>
      <c r="D24" s="29">
        <v>106</v>
      </c>
      <c r="E24" s="29">
        <v>1</v>
      </c>
      <c r="F24" s="19" t="s">
        <v>221</v>
      </c>
      <c r="G24" s="30" t="str">
        <f>VLOOKUP(C24,Guests!$A$2:$E$189,4,0)</f>
        <v>MKD</v>
      </c>
      <c r="H24" s="18">
        <v>45853</v>
      </c>
      <c r="I24" s="18">
        <v>45867</v>
      </c>
      <c r="J24" s="29">
        <v>14</v>
      </c>
      <c r="K24" s="20">
        <v>40</v>
      </c>
      <c r="L24" s="20">
        <v>0</v>
      </c>
      <c r="M24" s="20">
        <f t="shared" si="0"/>
        <v>560</v>
      </c>
      <c r="N24" s="20">
        <f t="shared" si="1"/>
        <v>560</v>
      </c>
      <c r="O24" s="19" t="s">
        <v>243</v>
      </c>
      <c r="P24" s="19" t="s">
        <v>223</v>
      </c>
      <c r="Q24" s="19" t="s">
        <v>224</v>
      </c>
    </row>
    <row r="25" spans="1:17" x14ac:dyDescent="0.25">
      <c r="A25" s="19" t="s">
        <v>254</v>
      </c>
      <c r="B25" s="19" t="s">
        <v>220</v>
      </c>
      <c r="C25" s="19" t="s">
        <v>37</v>
      </c>
      <c r="D25" s="29">
        <v>105</v>
      </c>
      <c r="E25" s="29">
        <v>4</v>
      </c>
      <c r="F25" s="19" t="s">
        <v>230</v>
      </c>
      <c r="G25" s="30" t="str">
        <f>VLOOKUP(C25,Guests!$A$2:$E$189,4,0)</f>
        <v>Serbia</v>
      </c>
      <c r="H25" s="18">
        <v>45854</v>
      </c>
      <c r="I25" s="18">
        <v>45863</v>
      </c>
      <c r="J25" s="29">
        <v>9</v>
      </c>
      <c r="K25" s="20">
        <v>52</v>
      </c>
      <c r="L25" s="20">
        <v>50</v>
      </c>
      <c r="M25" s="20">
        <f t="shared" si="0"/>
        <v>418</v>
      </c>
      <c r="N25" s="20">
        <f t="shared" si="1"/>
        <v>468</v>
      </c>
      <c r="O25" s="19" t="s">
        <v>243</v>
      </c>
      <c r="P25" s="19" t="s">
        <v>235</v>
      </c>
      <c r="Q25" s="19" t="s">
        <v>228</v>
      </c>
    </row>
    <row r="26" spans="1:17" x14ac:dyDescent="0.25">
      <c r="A26" s="19" t="s">
        <v>255</v>
      </c>
      <c r="B26" s="19" t="s">
        <v>220</v>
      </c>
      <c r="C26" s="19" t="s">
        <v>34</v>
      </c>
      <c r="D26" s="29">
        <v>2</v>
      </c>
      <c r="E26" s="29">
        <v>2</v>
      </c>
      <c r="F26" s="19" t="s">
        <v>226</v>
      </c>
      <c r="G26" s="30" t="str">
        <f>VLOOKUP(C26,Guests!$A$2:$E$189,4,0)</f>
        <v>Serbia</v>
      </c>
      <c r="H26" s="18">
        <v>45859</v>
      </c>
      <c r="I26" s="18">
        <v>45870</v>
      </c>
      <c r="J26" s="29">
        <v>11</v>
      </c>
      <c r="K26" s="20">
        <v>42</v>
      </c>
      <c r="L26" s="20">
        <v>0</v>
      </c>
      <c r="M26" s="20">
        <f t="shared" si="0"/>
        <v>462</v>
      </c>
      <c r="N26" s="20">
        <f t="shared" si="1"/>
        <v>462</v>
      </c>
      <c r="O26" s="19" t="s">
        <v>243</v>
      </c>
      <c r="P26" s="19" t="s">
        <v>227</v>
      </c>
      <c r="Q26" s="19" t="s">
        <v>259</v>
      </c>
    </row>
    <row r="27" spans="1:17" x14ac:dyDescent="0.25">
      <c r="A27" s="19" t="s">
        <v>256</v>
      </c>
      <c r="B27" s="19" t="s">
        <v>220</v>
      </c>
      <c r="C27" s="19" t="s">
        <v>17</v>
      </c>
      <c r="D27" s="29">
        <v>6</v>
      </c>
      <c r="E27" s="29">
        <v>1</v>
      </c>
      <c r="F27" s="19" t="s">
        <v>221</v>
      </c>
      <c r="G27" s="30" t="str">
        <f>VLOOKUP(C27,Guests!$A$2:$E$189,4,0)</f>
        <v>Serbia</v>
      </c>
      <c r="H27" s="18">
        <v>45859</v>
      </c>
      <c r="I27" s="18">
        <v>45876</v>
      </c>
      <c r="J27" s="29">
        <v>17</v>
      </c>
      <c r="K27" s="20">
        <v>35</v>
      </c>
      <c r="L27" s="20">
        <v>0</v>
      </c>
      <c r="M27" s="20">
        <f t="shared" si="0"/>
        <v>595</v>
      </c>
      <c r="N27" s="20">
        <f t="shared" si="1"/>
        <v>595</v>
      </c>
      <c r="O27" s="19" t="s">
        <v>243</v>
      </c>
      <c r="P27" s="19" t="s">
        <v>227</v>
      </c>
      <c r="Q27" s="19" t="s">
        <v>224</v>
      </c>
    </row>
    <row r="28" spans="1:17" x14ac:dyDescent="0.25">
      <c r="A28" s="19" t="s">
        <v>257</v>
      </c>
      <c r="B28" s="19" t="s">
        <v>220</v>
      </c>
      <c r="C28" s="19" t="s">
        <v>16</v>
      </c>
      <c r="D28" s="29">
        <v>101</v>
      </c>
      <c r="E28" s="29">
        <v>4</v>
      </c>
      <c r="F28" s="19" t="s">
        <v>230</v>
      </c>
      <c r="G28" s="30" t="str">
        <f>VLOOKUP(C28,Guests!$A$2:$E$189,4,0)</f>
        <v>Serbia</v>
      </c>
      <c r="H28" s="18">
        <v>45864</v>
      </c>
      <c r="I28" s="18">
        <v>45871</v>
      </c>
      <c r="J28" s="29">
        <v>7</v>
      </c>
      <c r="K28" s="20">
        <v>50</v>
      </c>
      <c r="L28" s="20">
        <v>0</v>
      </c>
      <c r="M28" s="20">
        <f t="shared" si="0"/>
        <v>350</v>
      </c>
      <c r="N28" s="20">
        <f t="shared" si="1"/>
        <v>350</v>
      </c>
      <c r="O28" s="19" t="s">
        <v>243</v>
      </c>
      <c r="P28" s="19" t="s">
        <v>227</v>
      </c>
      <c r="Q28" s="19" t="s">
        <v>228</v>
      </c>
    </row>
    <row r="29" spans="1:17" x14ac:dyDescent="0.25">
      <c r="A29" s="19" t="s">
        <v>258</v>
      </c>
      <c r="B29" s="19" t="s">
        <v>220</v>
      </c>
      <c r="C29" s="19" t="s">
        <v>18</v>
      </c>
      <c r="D29" s="29">
        <v>108</v>
      </c>
      <c r="E29" s="29">
        <v>2</v>
      </c>
      <c r="F29" s="19" t="s">
        <v>226</v>
      </c>
      <c r="G29" s="30" t="str">
        <f>VLOOKUP(C29,Guests!$A$2:$E$189,4,0)</f>
        <v>Serbia</v>
      </c>
      <c r="H29" s="18">
        <v>45866</v>
      </c>
      <c r="I29" s="18">
        <v>45878</v>
      </c>
      <c r="J29" s="29">
        <v>12</v>
      </c>
      <c r="K29" s="20">
        <v>42</v>
      </c>
      <c r="L29" s="20">
        <v>0</v>
      </c>
      <c r="M29" s="20">
        <f t="shared" si="0"/>
        <v>504</v>
      </c>
      <c r="N29" s="20">
        <f t="shared" si="1"/>
        <v>504</v>
      </c>
      <c r="O29" s="19" t="s">
        <v>243</v>
      </c>
      <c r="P29" s="19" t="s">
        <v>235</v>
      </c>
      <c r="Q29" s="19" t="s">
        <v>259</v>
      </c>
    </row>
    <row r="30" spans="1:17" x14ac:dyDescent="0.25">
      <c r="A30" s="19" t="s">
        <v>260</v>
      </c>
      <c r="B30" s="19" t="s">
        <v>220</v>
      </c>
      <c r="C30" s="19" t="s">
        <v>14</v>
      </c>
      <c r="D30" s="29">
        <v>7</v>
      </c>
      <c r="E30" s="29">
        <v>2</v>
      </c>
      <c r="F30" s="19" t="s">
        <v>226</v>
      </c>
      <c r="G30" s="30" t="str">
        <f>VLOOKUP(C30,Guests!$A$2:$E$189,4,0)</f>
        <v>Serbia</v>
      </c>
      <c r="H30" s="18">
        <v>45870</v>
      </c>
      <c r="I30" s="18">
        <v>45882</v>
      </c>
      <c r="J30" s="29">
        <v>12</v>
      </c>
      <c r="K30" s="20">
        <v>45</v>
      </c>
      <c r="L30" s="20">
        <v>0</v>
      </c>
      <c r="M30" s="20">
        <f t="shared" si="0"/>
        <v>540</v>
      </c>
      <c r="N30" s="20">
        <f t="shared" si="1"/>
        <v>540</v>
      </c>
      <c r="O30" s="19" t="s">
        <v>261</v>
      </c>
      <c r="P30" s="19" t="s">
        <v>227</v>
      </c>
      <c r="Q30" s="19" t="s">
        <v>228</v>
      </c>
    </row>
    <row r="31" spans="1:17" x14ac:dyDescent="0.25">
      <c r="A31" s="19" t="s">
        <v>262</v>
      </c>
      <c r="B31" s="19" t="s">
        <v>220</v>
      </c>
      <c r="C31" s="19" t="s">
        <v>38</v>
      </c>
      <c r="D31" s="29">
        <v>1</v>
      </c>
      <c r="E31" s="29">
        <v>4</v>
      </c>
      <c r="F31" s="19" t="s">
        <v>230</v>
      </c>
      <c r="G31" s="30" t="str">
        <f>VLOOKUP(C31,Guests!$A$2:$E$189,4,0)</f>
        <v>Serbia</v>
      </c>
      <c r="H31" s="18">
        <v>45876</v>
      </c>
      <c r="I31" s="18">
        <v>45883</v>
      </c>
      <c r="J31" s="29">
        <v>7</v>
      </c>
      <c r="K31" s="20">
        <v>52</v>
      </c>
      <c r="L31" s="20">
        <v>0</v>
      </c>
      <c r="M31" s="20">
        <f t="shared" si="0"/>
        <v>364</v>
      </c>
      <c r="N31" s="20">
        <f t="shared" si="1"/>
        <v>364</v>
      </c>
      <c r="O31" s="19" t="s">
        <v>261</v>
      </c>
      <c r="P31" s="19" t="s">
        <v>246</v>
      </c>
      <c r="Q31" s="19" t="s">
        <v>259</v>
      </c>
    </row>
    <row r="32" spans="1:17" x14ac:dyDescent="0.25">
      <c r="A32" s="19" t="s">
        <v>263</v>
      </c>
      <c r="B32" s="19" t="s">
        <v>220</v>
      </c>
      <c r="C32" s="19" t="s">
        <v>145</v>
      </c>
      <c r="D32" s="29">
        <v>4</v>
      </c>
      <c r="E32" s="29">
        <v>4</v>
      </c>
      <c r="F32" s="19" t="s">
        <v>230</v>
      </c>
      <c r="G32" s="30" t="str">
        <f>VLOOKUP(C32,Guests!$A$2:$E$189,4,0)</f>
        <v>Serbia</v>
      </c>
      <c r="H32" s="18">
        <v>45876</v>
      </c>
      <c r="I32" s="18">
        <v>45883</v>
      </c>
      <c r="J32" s="29">
        <v>7</v>
      </c>
      <c r="K32" s="20">
        <v>52</v>
      </c>
      <c r="L32" s="20">
        <v>0</v>
      </c>
      <c r="M32" s="20">
        <f t="shared" si="0"/>
        <v>364</v>
      </c>
      <c r="N32" s="20">
        <f t="shared" si="1"/>
        <v>364</v>
      </c>
      <c r="O32" s="19" t="s">
        <v>261</v>
      </c>
      <c r="P32" s="19" t="s">
        <v>246</v>
      </c>
      <c r="Q32" s="19" t="s">
        <v>259</v>
      </c>
    </row>
    <row r="33" spans="1:17" x14ac:dyDescent="0.25">
      <c r="A33" s="19" t="s">
        <v>264</v>
      </c>
      <c r="B33" s="19" t="s">
        <v>220</v>
      </c>
      <c r="C33" s="19" t="s">
        <v>173</v>
      </c>
      <c r="D33" s="29">
        <v>8</v>
      </c>
      <c r="E33" s="29">
        <v>2</v>
      </c>
      <c r="F33" s="19" t="s">
        <v>226</v>
      </c>
      <c r="G33" s="30" t="str">
        <f>VLOOKUP(C33,Guests!$A$2:$E$189,4,0)</f>
        <v>Croatia</v>
      </c>
      <c r="H33" s="18">
        <v>45878</v>
      </c>
      <c r="I33" s="18">
        <v>45892</v>
      </c>
      <c r="J33" s="29">
        <v>14</v>
      </c>
      <c r="K33" s="20">
        <v>40</v>
      </c>
      <c r="L33" s="20">
        <v>0</v>
      </c>
      <c r="M33" s="20">
        <f t="shared" si="0"/>
        <v>560</v>
      </c>
      <c r="N33" s="20">
        <f t="shared" si="1"/>
        <v>560</v>
      </c>
      <c r="O33" s="19" t="s">
        <v>261</v>
      </c>
      <c r="P33" s="19" t="s">
        <v>227</v>
      </c>
      <c r="Q33" s="19" t="s">
        <v>224</v>
      </c>
    </row>
    <row r="34" spans="1:17" x14ac:dyDescent="0.25">
      <c r="A34" s="19" t="s">
        <v>265</v>
      </c>
      <c r="B34" s="19" t="s">
        <v>220</v>
      </c>
      <c r="C34" s="19" t="s">
        <v>39</v>
      </c>
      <c r="D34" s="29">
        <v>103</v>
      </c>
      <c r="E34" s="29">
        <v>4</v>
      </c>
      <c r="F34" s="19" t="s">
        <v>230</v>
      </c>
      <c r="G34" s="30" t="str">
        <f>VLOOKUP(C34,Guests!$A$2:$E$189,4,0)</f>
        <v>Croatia</v>
      </c>
      <c r="H34" s="18">
        <v>45878</v>
      </c>
      <c r="I34" s="18">
        <v>45892</v>
      </c>
      <c r="J34" s="29">
        <v>14</v>
      </c>
      <c r="K34" s="20">
        <v>50</v>
      </c>
      <c r="L34" s="20">
        <v>0</v>
      </c>
      <c r="M34" s="20">
        <f t="shared" si="0"/>
        <v>700</v>
      </c>
      <c r="N34" s="20">
        <f t="shared" si="1"/>
        <v>700</v>
      </c>
      <c r="O34" s="19" t="s">
        <v>261</v>
      </c>
      <c r="P34" s="19" t="s">
        <v>227</v>
      </c>
      <c r="Q34" s="19" t="s">
        <v>224</v>
      </c>
    </row>
    <row r="35" spans="1:17" x14ac:dyDescent="0.25">
      <c r="A35" s="19" t="s">
        <v>266</v>
      </c>
      <c r="B35" s="19" t="s">
        <v>220</v>
      </c>
      <c r="C35" s="19" t="s">
        <v>11</v>
      </c>
      <c r="D35" s="29">
        <v>108</v>
      </c>
      <c r="E35" s="29">
        <v>2</v>
      </c>
      <c r="F35" s="19" t="s">
        <v>226</v>
      </c>
      <c r="G35" s="30" t="str">
        <f>VLOOKUP(C35,Guests!$A$2:$E$189,4,0)</f>
        <v>Serbia</v>
      </c>
      <c r="H35" s="18">
        <v>45878</v>
      </c>
      <c r="I35" s="18">
        <v>45888</v>
      </c>
      <c r="J35" s="29">
        <v>10</v>
      </c>
      <c r="K35" s="20">
        <v>42</v>
      </c>
      <c r="L35" s="20">
        <v>0</v>
      </c>
      <c r="M35" s="20">
        <f t="shared" si="0"/>
        <v>420</v>
      </c>
      <c r="N35" s="20">
        <f t="shared" si="1"/>
        <v>420</v>
      </c>
      <c r="O35" s="19" t="s">
        <v>261</v>
      </c>
      <c r="P35" s="19" t="s">
        <v>227</v>
      </c>
      <c r="Q35" s="19" t="s">
        <v>228</v>
      </c>
    </row>
    <row r="36" spans="1:17" x14ac:dyDescent="0.25">
      <c r="A36" s="19" t="s">
        <v>267</v>
      </c>
      <c r="B36" s="19" t="s">
        <v>220</v>
      </c>
      <c r="C36" s="19" t="s">
        <v>12</v>
      </c>
      <c r="D36" s="29">
        <v>101</v>
      </c>
      <c r="E36" s="29">
        <v>4</v>
      </c>
      <c r="F36" s="19" t="s">
        <v>230</v>
      </c>
      <c r="G36" s="30" t="str">
        <f>VLOOKUP(C36,Guests!$A$2:$E$189,4,0)</f>
        <v>Serbia</v>
      </c>
      <c r="H36" s="18">
        <v>45878</v>
      </c>
      <c r="I36" s="18">
        <v>45888</v>
      </c>
      <c r="J36" s="29">
        <v>10</v>
      </c>
      <c r="K36" s="20">
        <v>50</v>
      </c>
      <c r="L36" s="20">
        <v>0</v>
      </c>
      <c r="M36" s="20">
        <f t="shared" si="0"/>
        <v>500</v>
      </c>
      <c r="N36" s="20">
        <f t="shared" si="1"/>
        <v>500</v>
      </c>
      <c r="O36" s="19" t="s">
        <v>261</v>
      </c>
      <c r="P36" s="19" t="s">
        <v>227</v>
      </c>
      <c r="Q36" s="19" t="s">
        <v>228</v>
      </c>
    </row>
    <row r="37" spans="1:17" x14ac:dyDescent="0.25">
      <c r="A37" s="19" t="s">
        <v>268</v>
      </c>
      <c r="B37" s="19" t="s">
        <v>220</v>
      </c>
      <c r="C37" s="19" t="s">
        <v>152</v>
      </c>
      <c r="D37" s="29">
        <v>105</v>
      </c>
      <c r="E37" s="29">
        <v>4</v>
      </c>
      <c r="F37" s="19" t="s">
        <v>230</v>
      </c>
      <c r="G37" s="30" t="str">
        <f>VLOOKUP(C37,Guests!$A$2:$E$189,4,0)</f>
        <v>Serbia</v>
      </c>
      <c r="H37" s="18">
        <v>45880</v>
      </c>
      <c r="I37" s="18">
        <v>45890</v>
      </c>
      <c r="J37" s="29">
        <v>10</v>
      </c>
      <c r="K37" s="20">
        <v>50</v>
      </c>
      <c r="L37" s="20">
        <v>0</v>
      </c>
      <c r="M37" s="20">
        <f t="shared" si="0"/>
        <v>500</v>
      </c>
      <c r="N37" s="20">
        <f t="shared" si="1"/>
        <v>500</v>
      </c>
      <c r="O37" s="19" t="s">
        <v>261</v>
      </c>
      <c r="P37" s="19" t="s">
        <v>227</v>
      </c>
      <c r="Q37" s="19" t="s">
        <v>224</v>
      </c>
    </row>
    <row r="38" spans="1:17" x14ac:dyDescent="0.25">
      <c r="A38" s="19" t="s">
        <v>269</v>
      </c>
      <c r="B38" s="19" t="s">
        <v>220</v>
      </c>
      <c r="C38" s="19" t="s">
        <v>158</v>
      </c>
      <c r="D38" s="29">
        <v>3</v>
      </c>
      <c r="E38" s="29">
        <v>2</v>
      </c>
      <c r="F38" s="19" t="s">
        <v>226</v>
      </c>
      <c r="G38" s="30" t="str">
        <f>VLOOKUP(C38,Guests!$A$2:$E$189,4,0)</f>
        <v>Austria</v>
      </c>
      <c r="H38" s="18">
        <v>45883</v>
      </c>
      <c r="I38" s="18">
        <v>45906</v>
      </c>
      <c r="J38" s="29">
        <v>23</v>
      </c>
      <c r="K38" s="20">
        <v>43.48</v>
      </c>
      <c r="L38" s="20">
        <v>1000</v>
      </c>
      <c r="M38" s="20">
        <f t="shared" si="0"/>
        <v>3.999999999996362E-2</v>
      </c>
      <c r="N38" s="20">
        <f t="shared" si="1"/>
        <v>1000.04</v>
      </c>
      <c r="O38" s="19" t="s">
        <v>261</v>
      </c>
      <c r="P38" s="19" t="s">
        <v>227</v>
      </c>
      <c r="Q38" s="19" t="s">
        <v>228</v>
      </c>
    </row>
    <row r="39" spans="1:17" x14ac:dyDescent="0.25">
      <c r="A39" s="19" t="s">
        <v>270</v>
      </c>
      <c r="B39" s="19" t="s">
        <v>220</v>
      </c>
      <c r="C39" s="19" t="s">
        <v>157</v>
      </c>
      <c r="D39" s="29">
        <v>4</v>
      </c>
      <c r="E39" s="29">
        <v>2</v>
      </c>
      <c r="F39" s="19" t="s">
        <v>226</v>
      </c>
      <c r="G39" s="30" t="str">
        <f>VLOOKUP(C39,Guests!$A$2:$E$189,4,0)</f>
        <v>Austria</v>
      </c>
      <c r="H39" s="18">
        <v>45883</v>
      </c>
      <c r="I39" s="18">
        <v>45906</v>
      </c>
      <c r="J39" s="29">
        <v>23</v>
      </c>
      <c r="K39" s="20">
        <v>43.48</v>
      </c>
      <c r="L39" s="20">
        <v>1000</v>
      </c>
      <c r="M39" s="20">
        <f t="shared" si="0"/>
        <v>3.999999999996362E-2</v>
      </c>
      <c r="N39" s="20">
        <f t="shared" si="1"/>
        <v>1000.04</v>
      </c>
      <c r="O39" s="19" t="s">
        <v>261</v>
      </c>
      <c r="P39" s="19" t="s">
        <v>227</v>
      </c>
      <c r="Q39" s="19" t="s">
        <v>228</v>
      </c>
    </row>
    <row r="40" spans="1:17" x14ac:dyDescent="0.25">
      <c r="A40" s="19" t="s">
        <v>271</v>
      </c>
      <c r="B40" s="19" t="s">
        <v>220</v>
      </c>
      <c r="C40" s="19" t="s">
        <v>8</v>
      </c>
      <c r="D40" s="29">
        <v>5</v>
      </c>
      <c r="E40" s="29">
        <v>2</v>
      </c>
      <c r="F40" s="19" t="s">
        <v>226</v>
      </c>
      <c r="G40" s="30" t="str">
        <f>VLOOKUP(C40,Guests!$A$2:$E$189,4,0)</f>
        <v>Austria</v>
      </c>
      <c r="H40" s="18">
        <v>45883</v>
      </c>
      <c r="I40" s="18">
        <v>45906</v>
      </c>
      <c r="J40" s="29">
        <v>23</v>
      </c>
      <c r="K40" s="20">
        <v>52.18</v>
      </c>
      <c r="L40" s="20">
        <v>1200</v>
      </c>
      <c r="M40" s="20">
        <f t="shared" si="0"/>
        <v>0.14000000000010004</v>
      </c>
      <c r="N40" s="20">
        <f t="shared" si="1"/>
        <v>1200.1400000000001</v>
      </c>
      <c r="O40" s="19" t="s">
        <v>261</v>
      </c>
      <c r="P40" s="19" t="s">
        <v>227</v>
      </c>
      <c r="Q40" s="19" t="s">
        <v>228</v>
      </c>
    </row>
    <row r="41" spans="1:17" x14ac:dyDescent="0.25">
      <c r="A41" s="19" t="s">
        <v>272</v>
      </c>
      <c r="B41" s="19" t="s">
        <v>220</v>
      </c>
      <c r="C41" s="19" t="s">
        <v>162</v>
      </c>
      <c r="D41" s="29">
        <v>1</v>
      </c>
      <c r="E41" s="29">
        <v>4</v>
      </c>
      <c r="F41" s="19" t="s">
        <v>230</v>
      </c>
      <c r="G41" s="30" t="str">
        <f>VLOOKUP(C41,Guests!$A$2:$E$189,4,0)</f>
        <v>Serbia</v>
      </c>
      <c r="H41" s="18">
        <v>45887</v>
      </c>
      <c r="I41" s="18">
        <v>45897</v>
      </c>
      <c r="J41" s="29">
        <v>10</v>
      </c>
      <c r="K41" s="20">
        <v>50</v>
      </c>
      <c r="L41" s="20">
        <v>0</v>
      </c>
      <c r="M41" s="20">
        <f t="shared" si="0"/>
        <v>500</v>
      </c>
      <c r="N41" s="20">
        <f t="shared" si="1"/>
        <v>500</v>
      </c>
      <c r="O41" s="19" t="s">
        <v>261</v>
      </c>
      <c r="P41" s="19" t="s">
        <v>227</v>
      </c>
      <c r="Q41" s="19" t="s">
        <v>224</v>
      </c>
    </row>
    <row r="42" spans="1:17" x14ac:dyDescent="0.25">
      <c r="A42" s="19" t="s">
        <v>273</v>
      </c>
      <c r="B42" s="19" t="s">
        <v>220</v>
      </c>
      <c r="C42" s="19" t="s">
        <v>41</v>
      </c>
      <c r="D42" s="29">
        <v>2</v>
      </c>
      <c r="E42" s="29">
        <v>2</v>
      </c>
      <c r="F42" s="19" t="s">
        <v>226</v>
      </c>
      <c r="G42" s="30" t="str">
        <f>VLOOKUP(C42,Guests!$A$2:$E$189,4,0)</f>
        <v>Switzerland</v>
      </c>
      <c r="H42" s="18">
        <v>45887</v>
      </c>
      <c r="I42" s="18">
        <v>45897</v>
      </c>
      <c r="J42" s="29">
        <v>10</v>
      </c>
      <c r="K42" s="20">
        <v>40</v>
      </c>
      <c r="L42" s="20">
        <v>0</v>
      </c>
      <c r="M42" s="20">
        <f t="shared" si="0"/>
        <v>400</v>
      </c>
      <c r="N42" s="20">
        <f t="shared" si="1"/>
        <v>400</v>
      </c>
      <c r="O42" s="19" t="s">
        <v>261</v>
      </c>
      <c r="P42" s="19" t="s">
        <v>227</v>
      </c>
      <c r="Q42" s="19" t="s">
        <v>224</v>
      </c>
    </row>
    <row r="43" spans="1:17" x14ac:dyDescent="0.25">
      <c r="A43" s="19" t="s">
        <v>274</v>
      </c>
      <c r="B43" s="19" t="s">
        <v>220</v>
      </c>
      <c r="C43" s="19" t="s">
        <v>46</v>
      </c>
      <c r="D43" s="29">
        <v>104</v>
      </c>
      <c r="E43" s="29">
        <v>2</v>
      </c>
      <c r="F43" s="19" t="s">
        <v>226</v>
      </c>
      <c r="G43" s="30" t="str">
        <f>VLOOKUP(C43,Guests!$A$2:$E$189,4,0)</f>
        <v>Serbia</v>
      </c>
      <c r="H43" s="18">
        <v>45821</v>
      </c>
      <c r="I43" s="18">
        <v>45831</v>
      </c>
      <c r="J43" s="29">
        <v>10</v>
      </c>
      <c r="K43" s="20">
        <v>32</v>
      </c>
      <c r="L43" s="20">
        <v>30</v>
      </c>
      <c r="M43" s="20">
        <f t="shared" si="0"/>
        <v>290</v>
      </c>
      <c r="N43" s="20">
        <f t="shared" si="1"/>
        <v>320</v>
      </c>
      <c r="O43" s="19" t="s">
        <v>222</v>
      </c>
      <c r="P43" s="19" t="s">
        <v>227</v>
      </c>
      <c r="Q43" s="19" t="s">
        <v>228</v>
      </c>
    </row>
    <row r="44" spans="1:17" x14ac:dyDescent="0.25">
      <c r="A44" s="19" t="s">
        <v>275</v>
      </c>
      <c r="B44" s="19" t="s">
        <v>220</v>
      </c>
      <c r="C44" s="19" t="s">
        <v>47</v>
      </c>
      <c r="D44" s="29">
        <v>2</v>
      </c>
      <c r="E44" s="29">
        <v>2</v>
      </c>
      <c r="F44" s="19" t="s">
        <v>226</v>
      </c>
      <c r="G44" s="30" t="str">
        <f>VLOOKUP(C44,Guests!$A$2:$E$189,4,0)</f>
        <v>Serbia</v>
      </c>
      <c r="H44" s="18">
        <v>45824</v>
      </c>
      <c r="I44" s="18">
        <v>45832</v>
      </c>
      <c r="J44" s="29">
        <v>8</v>
      </c>
      <c r="K44" s="20">
        <v>30</v>
      </c>
      <c r="L44" s="20">
        <v>0</v>
      </c>
      <c r="M44" s="20">
        <f t="shared" si="0"/>
        <v>240</v>
      </c>
      <c r="N44" s="20">
        <f t="shared" si="1"/>
        <v>240</v>
      </c>
      <c r="O44" s="19" t="s">
        <v>222</v>
      </c>
      <c r="P44" s="19" t="s">
        <v>246</v>
      </c>
      <c r="Q44" s="19" t="s">
        <v>228</v>
      </c>
    </row>
    <row r="45" spans="1:17" x14ac:dyDescent="0.25">
      <c r="A45" s="19" t="s">
        <v>276</v>
      </c>
      <c r="B45" s="19" t="s">
        <v>220</v>
      </c>
      <c r="C45" s="19" t="s">
        <v>48</v>
      </c>
      <c r="D45" s="29">
        <v>105</v>
      </c>
      <c r="E45" s="29">
        <v>2</v>
      </c>
      <c r="F45" s="19" t="s">
        <v>226</v>
      </c>
      <c r="G45" s="30" t="str">
        <f>VLOOKUP(C45,Guests!$A$2:$E$189,4,0)</f>
        <v>Greece</v>
      </c>
      <c r="H45" s="18">
        <v>45815</v>
      </c>
      <c r="I45" s="18">
        <v>45817</v>
      </c>
      <c r="J45" s="29">
        <v>2</v>
      </c>
      <c r="K45" s="20">
        <v>35</v>
      </c>
      <c r="L45" s="20">
        <v>0</v>
      </c>
      <c r="M45" s="20">
        <f t="shared" si="0"/>
        <v>70</v>
      </c>
      <c r="N45" s="20">
        <f t="shared" si="1"/>
        <v>70</v>
      </c>
      <c r="O45" s="19" t="s">
        <v>222</v>
      </c>
      <c r="P45" s="19" t="s">
        <v>223</v>
      </c>
      <c r="Q45" s="19" t="s">
        <v>228</v>
      </c>
    </row>
    <row r="46" spans="1:17" x14ac:dyDescent="0.25">
      <c r="A46" s="19" t="s">
        <v>277</v>
      </c>
      <c r="B46" s="19" t="s">
        <v>220</v>
      </c>
      <c r="C46" s="19" t="s">
        <v>48</v>
      </c>
      <c r="D46" s="29">
        <v>107</v>
      </c>
      <c r="E46" s="29">
        <v>2</v>
      </c>
      <c r="F46" s="19" t="s">
        <v>226</v>
      </c>
      <c r="G46" s="30" t="str">
        <f>VLOOKUP(C46,Guests!$A$2:$E$189,4,0)</f>
        <v>Greece</v>
      </c>
      <c r="H46" s="18">
        <v>45815</v>
      </c>
      <c r="I46" s="18">
        <v>45817</v>
      </c>
      <c r="J46" s="29">
        <v>2</v>
      </c>
      <c r="K46" s="20">
        <v>35</v>
      </c>
      <c r="L46" s="20">
        <v>0</v>
      </c>
      <c r="M46" s="20">
        <f t="shared" si="0"/>
        <v>70</v>
      </c>
      <c r="N46" s="20">
        <f t="shared" si="1"/>
        <v>70</v>
      </c>
      <c r="O46" s="19" t="s">
        <v>222</v>
      </c>
      <c r="P46" s="19" t="s">
        <v>223</v>
      </c>
      <c r="Q46" s="19" t="s">
        <v>228</v>
      </c>
    </row>
    <row r="47" spans="1:17" x14ac:dyDescent="0.25">
      <c r="A47" s="19" t="s">
        <v>278</v>
      </c>
      <c r="B47" s="19" t="s">
        <v>220</v>
      </c>
      <c r="C47" s="19" t="s">
        <v>49</v>
      </c>
      <c r="D47" s="29">
        <v>1</v>
      </c>
      <c r="E47" s="29">
        <v>2</v>
      </c>
      <c r="F47" s="19" t="s">
        <v>226</v>
      </c>
      <c r="G47" s="30" t="str">
        <f>VLOOKUP(C47,Guests!$A$2:$E$189,4,0)</f>
        <v>Greece</v>
      </c>
      <c r="H47" s="18">
        <v>45826</v>
      </c>
      <c r="I47" s="18">
        <v>45832</v>
      </c>
      <c r="J47" s="29">
        <v>6</v>
      </c>
      <c r="K47" s="20">
        <v>35</v>
      </c>
      <c r="L47" s="20">
        <v>0</v>
      </c>
      <c r="M47" s="20">
        <f t="shared" si="0"/>
        <v>210</v>
      </c>
      <c r="N47" s="20">
        <f t="shared" si="1"/>
        <v>210</v>
      </c>
      <c r="O47" s="19" t="s">
        <v>222</v>
      </c>
      <c r="P47" s="19" t="s">
        <v>279</v>
      </c>
      <c r="Q47" s="19" t="s">
        <v>228</v>
      </c>
    </row>
    <row r="48" spans="1:17" x14ac:dyDescent="0.25">
      <c r="A48" s="19" t="s">
        <v>280</v>
      </c>
      <c r="B48" s="19" t="s">
        <v>220</v>
      </c>
      <c r="C48" s="19" t="s">
        <v>50</v>
      </c>
      <c r="D48" s="29">
        <v>7</v>
      </c>
      <c r="E48" s="29">
        <v>2</v>
      </c>
      <c r="F48" s="19" t="s">
        <v>226</v>
      </c>
      <c r="G48" s="30" t="str">
        <f>VLOOKUP(C48,Guests!$A$2:$E$189,4,0)</f>
        <v>MKD</v>
      </c>
      <c r="H48" s="18">
        <v>45828</v>
      </c>
      <c r="I48" s="18">
        <v>45836</v>
      </c>
      <c r="J48" s="29">
        <v>8</v>
      </c>
      <c r="K48" s="20">
        <v>32</v>
      </c>
      <c r="L48" s="20">
        <v>0</v>
      </c>
      <c r="M48" s="20">
        <f t="shared" si="0"/>
        <v>256</v>
      </c>
      <c r="N48" s="20">
        <f t="shared" si="1"/>
        <v>256</v>
      </c>
      <c r="O48" s="19" t="s">
        <v>222</v>
      </c>
      <c r="P48" s="19" t="s">
        <v>246</v>
      </c>
      <c r="Q48" s="19" t="s">
        <v>259</v>
      </c>
    </row>
    <row r="49" spans="1:17" x14ac:dyDescent="0.25">
      <c r="A49" s="19" t="s">
        <v>281</v>
      </c>
      <c r="B49" s="19" t="s">
        <v>220</v>
      </c>
      <c r="C49" s="19" t="s">
        <v>51</v>
      </c>
      <c r="D49" s="29">
        <v>103</v>
      </c>
      <c r="E49" s="29">
        <v>3</v>
      </c>
      <c r="F49" s="19" t="s">
        <v>230</v>
      </c>
      <c r="G49" s="30" t="str">
        <f>VLOOKUP(C49,Guests!$A$2:$E$189,4,0)</f>
        <v>Serbia</v>
      </c>
      <c r="H49" s="18">
        <v>45831</v>
      </c>
      <c r="I49" s="18">
        <v>45838</v>
      </c>
      <c r="J49" s="29">
        <v>7</v>
      </c>
      <c r="K49" s="20">
        <v>32</v>
      </c>
      <c r="L49" s="20">
        <v>0</v>
      </c>
      <c r="M49" s="20">
        <f t="shared" si="0"/>
        <v>224</v>
      </c>
      <c r="N49" s="20">
        <f t="shared" si="1"/>
        <v>224</v>
      </c>
      <c r="O49" s="19" t="s">
        <v>222</v>
      </c>
      <c r="P49" s="19" t="s">
        <v>223</v>
      </c>
      <c r="Q49" s="19" t="s">
        <v>228</v>
      </c>
    </row>
    <row r="50" spans="1:17" x14ac:dyDescent="0.25">
      <c r="A50" s="19" t="s">
        <v>282</v>
      </c>
      <c r="B50" s="19" t="s">
        <v>220</v>
      </c>
      <c r="C50" s="19" t="s">
        <v>51</v>
      </c>
      <c r="D50" s="29">
        <v>104</v>
      </c>
      <c r="E50" s="29">
        <v>3</v>
      </c>
      <c r="F50" s="19" t="s">
        <v>230</v>
      </c>
      <c r="G50" s="30" t="str">
        <f>VLOOKUP(C50,Guests!$A$2:$E$189,4,0)</f>
        <v>Serbia</v>
      </c>
      <c r="H50" s="18">
        <v>45831</v>
      </c>
      <c r="I50" s="18">
        <v>45838</v>
      </c>
      <c r="J50" s="29">
        <v>7</v>
      </c>
      <c r="K50" s="20">
        <v>32</v>
      </c>
      <c r="L50" s="20">
        <v>0</v>
      </c>
      <c r="M50" s="20">
        <f t="shared" si="0"/>
        <v>224</v>
      </c>
      <c r="N50" s="20">
        <f t="shared" si="1"/>
        <v>224</v>
      </c>
      <c r="O50" s="19" t="s">
        <v>222</v>
      </c>
      <c r="P50" s="19" t="s">
        <v>223</v>
      </c>
      <c r="Q50" s="19" t="s">
        <v>228</v>
      </c>
    </row>
    <row r="51" spans="1:17" x14ac:dyDescent="0.25">
      <c r="A51" s="19" t="s">
        <v>283</v>
      </c>
      <c r="B51" s="19" t="s">
        <v>220</v>
      </c>
      <c r="C51" s="19" t="s">
        <v>21</v>
      </c>
      <c r="D51" s="29">
        <v>106</v>
      </c>
      <c r="E51" s="29">
        <v>3</v>
      </c>
      <c r="F51" s="19" t="s">
        <v>230</v>
      </c>
      <c r="G51" s="30" t="str">
        <f>VLOOKUP(C51,Guests!$A$2:$E$189,4,0)</f>
        <v>Serbia</v>
      </c>
      <c r="H51" s="18">
        <v>45837</v>
      </c>
      <c r="I51" s="18">
        <v>45847</v>
      </c>
      <c r="J51" s="29">
        <v>10</v>
      </c>
      <c r="K51" s="20">
        <v>42</v>
      </c>
      <c r="L51" s="20">
        <v>40</v>
      </c>
      <c r="M51" s="20">
        <f t="shared" si="0"/>
        <v>380</v>
      </c>
      <c r="N51" s="20">
        <f t="shared" si="1"/>
        <v>420</v>
      </c>
      <c r="O51" s="19" t="s">
        <v>222</v>
      </c>
      <c r="P51" s="19" t="s">
        <v>246</v>
      </c>
      <c r="Q51" s="19" t="s">
        <v>259</v>
      </c>
    </row>
    <row r="52" spans="1:17" x14ac:dyDescent="0.25">
      <c r="A52" s="19" t="s">
        <v>284</v>
      </c>
      <c r="B52" s="19" t="s">
        <v>220</v>
      </c>
      <c r="C52" s="19" t="s">
        <v>21</v>
      </c>
      <c r="D52" s="29">
        <v>108</v>
      </c>
      <c r="E52" s="29">
        <v>4</v>
      </c>
      <c r="F52" s="19" t="s">
        <v>230</v>
      </c>
      <c r="G52" s="30" t="str">
        <f>VLOOKUP(C52,Guests!$A$2:$E$189,4,0)</f>
        <v>Serbia</v>
      </c>
      <c r="H52" s="18">
        <v>45837</v>
      </c>
      <c r="I52" s="18">
        <v>45847</v>
      </c>
      <c r="J52" s="29">
        <v>10</v>
      </c>
      <c r="K52" s="20">
        <v>42</v>
      </c>
      <c r="L52" s="20">
        <v>40</v>
      </c>
      <c r="M52" s="20">
        <f t="shared" si="0"/>
        <v>380</v>
      </c>
      <c r="N52" s="20">
        <f t="shared" si="1"/>
        <v>420</v>
      </c>
      <c r="O52" s="19" t="s">
        <v>222</v>
      </c>
      <c r="P52" s="19" t="s">
        <v>246</v>
      </c>
      <c r="Q52" s="19" t="s">
        <v>259</v>
      </c>
    </row>
    <row r="53" spans="1:17" x14ac:dyDescent="0.25">
      <c r="A53" s="19" t="s">
        <v>285</v>
      </c>
      <c r="B53" s="19" t="s">
        <v>220</v>
      </c>
      <c r="C53" s="19" t="s">
        <v>52</v>
      </c>
      <c r="D53" s="29">
        <v>104</v>
      </c>
      <c r="E53" s="29">
        <v>2</v>
      </c>
      <c r="F53" s="19" t="s">
        <v>226</v>
      </c>
      <c r="G53" s="30" t="str">
        <f>VLOOKUP(C53,Guests!$A$2:$E$189,4,0)</f>
        <v>Greece</v>
      </c>
      <c r="H53" s="18">
        <v>45852</v>
      </c>
      <c r="I53" s="18">
        <v>45857</v>
      </c>
      <c r="J53" s="29">
        <v>5</v>
      </c>
      <c r="K53" s="20">
        <v>47</v>
      </c>
      <c r="L53" s="20">
        <v>50</v>
      </c>
      <c r="M53" s="20">
        <f t="shared" si="0"/>
        <v>185</v>
      </c>
      <c r="N53" s="20">
        <f t="shared" si="1"/>
        <v>235</v>
      </c>
      <c r="O53" s="19" t="s">
        <v>243</v>
      </c>
      <c r="P53" s="19" t="s">
        <v>223</v>
      </c>
      <c r="Q53" s="19" t="s">
        <v>228</v>
      </c>
    </row>
    <row r="54" spans="1:17" x14ac:dyDescent="0.25">
      <c r="A54" s="19" t="s">
        <v>286</v>
      </c>
      <c r="B54" s="19" t="s">
        <v>220</v>
      </c>
      <c r="C54" s="19" t="s">
        <v>53</v>
      </c>
      <c r="D54" s="29">
        <v>106</v>
      </c>
      <c r="E54" s="29">
        <v>2</v>
      </c>
      <c r="F54" s="19" t="s">
        <v>226</v>
      </c>
      <c r="G54" s="30" t="str">
        <f>VLOOKUP(C54,Guests!$A$2:$E$189,4,0)</f>
        <v>MKD</v>
      </c>
      <c r="H54" s="18">
        <v>45867</v>
      </c>
      <c r="I54" s="18">
        <v>45873</v>
      </c>
      <c r="J54" s="29">
        <v>6</v>
      </c>
      <c r="K54" s="20">
        <v>40</v>
      </c>
      <c r="L54" s="20">
        <v>0</v>
      </c>
      <c r="M54" s="20">
        <f t="shared" si="0"/>
        <v>240</v>
      </c>
      <c r="N54" s="20">
        <f t="shared" si="1"/>
        <v>240</v>
      </c>
      <c r="O54" s="19" t="s">
        <v>243</v>
      </c>
      <c r="P54" s="19" t="s">
        <v>227</v>
      </c>
      <c r="Q54" s="19" t="s">
        <v>259</v>
      </c>
    </row>
    <row r="55" spans="1:17" x14ac:dyDescent="0.25">
      <c r="A55" s="19" t="s">
        <v>287</v>
      </c>
      <c r="B55" s="19" t="s">
        <v>220</v>
      </c>
      <c r="C55" s="19" t="s">
        <v>146</v>
      </c>
      <c r="D55" s="29">
        <v>107</v>
      </c>
      <c r="E55" s="29">
        <v>4</v>
      </c>
      <c r="F55" s="19" t="s">
        <v>230</v>
      </c>
      <c r="G55" s="30" t="str">
        <f>VLOOKUP(C55,Guests!$A$2:$E$189,4,0)</f>
        <v>Serbia</v>
      </c>
      <c r="H55" s="18">
        <v>45876</v>
      </c>
      <c r="I55" s="18">
        <v>45883</v>
      </c>
      <c r="J55" s="29">
        <v>7</v>
      </c>
      <c r="K55" s="20">
        <v>52</v>
      </c>
      <c r="L55" s="20">
        <v>0</v>
      </c>
      <c r="M55" s="20">
        <f t="shared" si="0"/>
        <v>364</v>
      </c>
      <c r="N55" s="20">
        <f t="shared" si="1"/>
        <v>364</v>
      </c>
      <c r="O55" s="19" t="s">
        <v>261</v>
      </c>
      <c r="P55" s="19" t="s">
        <v>246</v>
      </c>
      <c r="Q55" s="19" t="s">
        <v>259</v>
      </c>
    </row>
    <row r="56" spans="1:17" x14ac:dyDescent="0.25">
      <c r="A56" s="19" t="s">
        <v>288</v>
      </c>
      <c r="B56" s="19" t="s">
        <v>220</v>
      </c>
      <c r="C56" s="19" t="s">
        <v>54</v>
      </c>
      <c r="D56" s="29">
        <v>7</v>
      </c>
      <c r="E56" s="29">
        <v>3</v>
      </c>
      <c r="F56" s="19" t="s">
        <v>230</v>
      </c>
      <c r="G56" s="30" t="str">
        <f>VLOOKUP(C56,Guests!$A$2:$E$189,4,0)</f>
        <v>Greece</v>
      </c>
      <c r="H56" s="18">
        <v>45882</v>
      </c>
      <c r="I56" s="18">
        <v>45886</v>
      </c>
      <c r="J56" s="29">
        <v>4</v>
      </c>
      <c r="K56" s="20">
        <v>45</v>
      </c>
      <c r="L56" s="20">
        <v>0</v>
      </c>
      <c r="M56" s="20">
        <f t="shared" si="0"/>
        <v>180</v>
      </c>
      <c r="N56" s="20">
        <f t="shared" si="1"/>
        <v>180</v>
      </c>
      <c r="O56" s="19" t="s">
        <v>261</v>
      </c>
      <c r="P56" s="19" t="s">
        <v>223</v>
      </c>
      <c r="Q56" s="19" t="s">
        <v>228</v>
      </c>
    </row>
    <row r="57" spans="1:17" x14ac:dyDescent="0.25">
      <c r="A57" s="19" t="s">
        <v>289</v>
      </c>
      <c r="B57" s="19" t="s">
        <v>220</v>
      </c>
      <c r="C57" s="19" t="s">
        <v>54</v>
      </c>
      <c r="D57" s="29">
        <v>6</v>
      </c>
      <c r="E57" s="29">
        <v>2</v>
      </c>
      <c r="F57" s="19" t="s">
        <v>226</v>
      </c>
      <c r="G57" s="30" t="str">
        <f>VLOOKUP(C57,Guests!$A$2:$E$189,4,0)</f>
        <v>Greece</v>
      </c>
      <c r="H57" s="18">
        <v>45883</v>
      </c>
      <c r="I57" s="18">
        <v>45886</v>
      </c>
      <c r="J57" s="29">
        <v>3</v>
      </c>
      <c r="K57" s="20">
        <v>45</v>
      </c>
      <c r="L57" s="20">
        <v>0</v>
      </c>
      <c r="M57" s="20">
        <f t="shared" si="0"/>
        <v>135</v>
      </c>
      <c r="N57" s="20">
        <f t="shared" si="1"/>
        <v>135</v>
      </c>
      <c r="O57" s="19" t="s">
        <v>261</v>
      </c>
      <c r="P57" s="19" t="s">
        <v>223</v>
      </c>
      <c r="Q57" s="19" t="s">
        <v>228</v>
      </c>
    </row>
    <row r="58" spans="1:17" x14ac:dyDescent="0.25">
      <c r="A58" s="19" t="s">
        <v>290</v>
      </c>
      <c r="B58" s="19" t="s">
        <v>220</v>
      </c>
      <c r="C58" s="19" t="s">
        <v>43</v>
      </c>
      <c r="D58" s="29">
        <v>107</v>
      </c>
      <c r="E58" s="29">
        <v>4</v>
      </c>
      <c r="F58" s="19" t="s">
        <v>230</v>
      </c>
      <c r="G58" s="30" t="str">
        <f>VLOOKUP(C58,Guests!$A$2:$E$189,4,0)</f>
        <v>Albania</v>
      </c>
      <c r="H58" s="18">
        <v>45883</v>
      </c>
      <c r="I58" s="18">
        <v>45889</v>
      </c>
      <c r="J58" s="29">
        <v>6</v>
      </c>
      <c r="K58" s="20">
        <v>55</v>
      </c>
      <c r="L58" s="20">
        <v>0</v>
      </c>
      <c r="M58" s="20">
        <f t="shared" si="0"/>
        <v>330</v>
      </c>
      <c r="N58" s="20">
        <f t="shared" si="1"/>
        <v>330</v>
      </c>
      <c r="O58" s="19" t="s">
        <v>261</v>
      </c>
      <c r="P58" s="19" t="s">
        <v>223</v>
      </c>
      <c r="Q58" s="19" t="s">
        <v>224</v>
      </c>
    </row>
    <row r="59" spans="1:17" x14ac:dyDescent="0.25">
      <c r="A59" s="19" t="s">
        <v>291</v>
      </c>
      <c r="B59" s="19" t="s">
        <v>220</v>
      </c>
      <c r="C59" s="19" t="s">
        <v>55</v>
      </c>
      <c r="D59" s="29">
        <v>107</v>
      </c>
      <c r="E59" s="29">
        <v>2</v>
      </c>
      <c r="F59" s="19" t="s">
        <v>226</v>
      </c>
      <c r="G59" s="30" t="str">
        <f>VLOOKUP(C59,Guests!$A$2:$E$189,4,0)</f>
        <v>MKD</v>
      </c>
      <c r="H59" s="18">
        <v>45820</v>
      </c>
      <c r="I59" s="18">
        <v>45833</v>
      </c>
      <c r="J59" s="29">
        <v>13</v>
      </c>
      <c r="K59" s="20">
        <v>32</v>
      </c>
      <c r="L59" s="20">
        <v>0</v>
      </c>
      <c r="M59" s="20">
        <f t="shared" si="0"/>
        <v>416</v>
      </c>
      <c r="N59" s="20">
        <f t="shared" si="1"/>
        <v>416</v>
      </c>
      <c r="O59" s="19" t="s">
        <v>222</v>
      </c>
      <c r="P59" s="19" t="s">
        <v>246</v>
      </c>
      <c r="Q59" s="19" t="s">
        <v>228</v>
      </c>
    </row>
    <row r="60" spans="1:17" x14ac:dyDescent="0.25">
      <c r="A60" s="19" t="s">
        <v>292</v>
      </c>
      <c r="B60" s="19" t="s">
        <v>220</v>
      </c>
      <c r="C60" s="19" t="s">
        <v>56</v>
      </c>
      <c r="D60" s="29">
        <v>106</v>
      </c>
      <c r="E60" s="29">
        <v>1</v>
      </c>
      <c r="F60" s="19" t="s">
        <v>221</v>
      </c>
      <c r="G60" s="30" t="str">
        <f>VLOOKUP(C60,Guests!$A$2:$E$189,4,0)</f>
        <v>MKD</v>
      </c>
      <c r="H60" s="18">
        <v>45831</v>
      </c>
      <c r="I60" s="18">
        <v>45836</v>
      </c>
      <c r="J60" s="29">
        <v>5</v>
      </c>
      <c r="K60" s="20">
        <v>32</v>
      </c>
      <c r="L60" s="20">
        <v>50</v>
      </c>
      <c r="M60" s="20">
        <f t="shared" si="0"/>
        <v>110</v>
      </c>
      <c r="N60" s="20">
        <f t="shared" si="1"/>
        <v>160</v>
      </c>
      <c r="O60" s="19" t="s">
        <v>222</v>
      </c>
      <c r="P60" s="19" t="s">
        <v>246</v>
      </c>
      <c r="Q60" s="19" t="s">
        <v>228</v>
      </c>
    </row>
    <row r="61" spans="1:17" x14ac:dyDescent="0.25">
      <c r="A61" s="19" t="s">
        <v>293</v>
      </c>
      <c r="B61" s="19" t="s">
        <v>220</v>
      </c>
      <c r="C61" s="19" t="s">
        <v>86</v>
      </c>
      <c r="D61" s="29">
        <v>108</v>
      </c>
      <c r="E61" s="29">
        <v>3</v>
      </c>
      <c r="F61" s="19" t="s">
        <v>230</v>
      </c>
      <c r="G61" s="30" t="str">
        <f>VLOOKUP(C61,Guests!$A$2:$E$189,4,0)</f>
        <v>MKD</v>
      </c>
      <c r="H61" s="18">
        <v>45831</v>
      </c>
      <c r="I61" s="18">
        <v>45836</v>
      </c>
      <c r="J61" s="29">
        <v>5</v>
      </c>
      <c r="K61" s="20">
        <v>37</v>
      </c>
      <c r="L61" s="20">
        <v>0</v>
      </c>
      <c r="M61" s="20">
        <f t="shared" si="0"/>
        <v>185</v>
      </c>
      <c r="N61" s="20">
        <f t="shared" si="1"/>
        <v>185</v>
      </c>
      <c r="O61" s="19" t="s">
        <v>222</v>
      </c>
      <c r="P61" s="19" t="s">
        <v>246</v>
      </c>
      <c r="Q61" s="19" t="s">
        <v>228</v>
      </c>
    </row>
    <row r="62" spans="1:17" x14ac:dyDescent="0.25">
      <c r="A62" s="19" t="s">
        <v>294</v>
      </c>
      <c r="B62" s="19" t="s">
        <v>220</v>
      </c>
      <c r="C62" s="19" t="s">
        <v>56</v>
      </c>
      <c r="D62" s="29">
        <v>105</v>
      </c>
      <c r="E62" s="29">
        <v>4</v>
      </c>
      <c r="F62" s="19" t="s">
        <v>230</v>
      </c>
      <c r="G62" s="30" t="str">
        <f>VLOOKUP(C62,Guests!$A$2:$E$189,4,0)</f>
        <v>MKD</v>
      </c>
      <c r="H62" s="18">
        <v>45831</v>
      </c>
      <c r="I62" s="18">
        <v>45836</v>
      </c>
      <c r="J62" s="29">
        <v>5</v>
      </c>
      <c r="K62" s="20">
        <v>42</v>
      </c>
      <c r="L62" s="20">
        <v>0</v>
      </c>
      <c r="M62" s="20">
        <f t="shared" si="0"/>
        <v>210</v>
      </c>
      <c r="N62" s="20">
        <f t="shared" si="1"/>
        <v>210</v>
      </c>
      <c r="O62" s="19" t="s">
        <v>222</v>
      </c>
      <c r="P62" s="19" t="s">
        <v>246</v>
      </c>
      <c r="Q62" s="19" t="s">
        <v>228</v>
      </c>
    </row>
    <row r="63" spans="1:17" x14ac:dyDescent="0.25">
      <c r="A63" s="19" t="s">
        <v>295</v>
      </c>
      <c r="B63" s="19" t="s">
        <v>220</v>
      </c>
      <c r="C63" s="19" t="s">
        <v>57</v>
      </c>
      <c r="D63" s="29">
        <v>2</v>
      </c>
      <c r="E63" s="29">
        <v>2</v>
      </c>
      <c r="F63" s="19" t="s">
        <v>226</v>
      </c>
      <c r="G63" s="30" t="str">
        <f>VLOOKUP(C63,Guests!$A$2:$E$189,4,0)</f>
        <v>MKD</v>
      </c>
      <c r="H63" s="18">
        <v>45813</v>
      </c>
      <c r="I63" s="18">
        <v>45816</v>
      </c>
      <c r="J63" s="29">
        <v>3</v>
      </c>
      <c r="K63" s="20">
        <v>30</v>
      </c>
      <c r="L63" s="20">
        <v>0</v>
      </c>
      <c r="M63" s="20">
        <f t="shared" si="0"/>
        <v>90</v>
      </c>
      <c r="N63" s="20">
        <f t="shared" si="1"/>
        <v>90</v>
      </c>
      <c r="O63" s="19" t="s">
        <v>222</v>
      </c>
      <c r="P63" s="19" t="s">
        <v>296</v>
      </c>
      <c r="Q63" s="19" t="s">
        <v>224</v>
      </c>
    </row>
    <row r="64" spans="1:17" x14ac:dyDescent="0.25">
      <c r="A64" s="19" t="s">
        <v>297</v>
      </c>
      <c r="B64" s="19" t="s">
        <v>220</v>
      </c>
      <c r="C64" s="19" t="s">
        <v>58</v>
      </c>
      <c r="D64" s="29">
        <v>103</v>
      </c>
      <c r="E64" s="29">
        <v>3</v>
      </c>
      <c r="F64" s="19" t="s">
        <v>230</v>
      </c>
      <c r="G64" s="30" t="str">
        <f>VLOOKUP(C64,Guests!$A$2:$E$189,4,0)</f>
        <v>MKD</v>
      </c>
      <c r="H64" s="18">
        <v>45814</v>
      </c>
      <c r="I64" s="18">
        <v>45816</v>
      </c>
      <c r="J64" s="29">
        <v>2</v>
      </c>
      <c r="K64" s="20">
        <v>35</v>
      </c>
      <c r="L64" s="20">
        <v>0</v>
      </c>
      <c r="M64" s="20">
        <f t="shared" si="0"/>
        <v>70</v>
      </c>
      <c r="N64" s="20">
        <f t="shared" si="1"/>
        <v>70</v>
      </c>
      <c r="O64" s="19" t="s">
        <v>222</v>
      </c>
      <c r="P64" s="19" t="s">
        <v>296</v>
      </c>
      <c r="Q64" s="19" t="s">
        <v>228</v>
      </c>
    </row>
    <row r="65" spans="1:17" x14ac:dyDescent="0.25">
      <c r="A65" s="19" t="s">
        <v>298</v>
      </c>
      <c r="B65" s="19" t="s">
        <v>220</v>
      </c>
      <c r="C65" s="19" t="s">
        <v>59</v>
      </c>
      <c r="D65" s="29">
        <v>102</v>
      </c>
      <c r="E65" s="29">
        <v>2</v>
      </c>
      <c r="F65" s="19" t="s">
        <v>226</v>
      </c>
      <c r="G65" s="30" t="str">
        <f>VLOOKUP(C65,Guests!$A$2:$E$189,4,0)</f>
        <v>Serbia</v>
      </c>
      <c r="H65" s="18">
        <v>45870</v>
      </c>
      <c r="I65" s="18">
        <v>45880</v>
      </c>
      <c r="J65" s="29">
        <v>10</v>
      </c>
      <c r="K65" s="20">
        <v>42</v>
      </c>
      <c r="L65" s="20">
        <v>0</v>
      </c>
      <c r="M65" s="20">
        <f t="shared" si="0"/>
        <v>420</v>
      </c>
      <c r="N65" s="20">
        <f t="shared" si="1"/>
        <v>420</v>
      </c>
      <c r="O65" s="19" t="s">
        <v>261</v>
      </c>
      <c r="P65" s="19" t="s">
        <v>299</v>
      </c>
      <c r="Q65" s="19" t="s">
        <v>228</v>
      </c>
    </row>
    <row r="66" spans="1:17" x14ac:dyDescent="0.25">
      <c r="A66" s="19" t="s">
        <v>300</v>
      </c>
      <c r="B66" s="19" t="s">
        <v>220</v>
      </c>
      <c r="C66" s="19" t="s">
        <v>60</v>
      </c>
      <c r="D66" s="29">
        <v>1</v>
      </c>
      <c r="E66" s="29">
        <v>4</v>
      </c>
      <c r="F66" s="19" t="s">
        <v>230</v>
      </c>
      <c r="G66" s="30" t="str">
        <f>VLOOKUP(C66,Guests!$A$2:$E$189,4,0)</f>
        <v>Serbia</v>
      </c>
      <c r="H66" s="18">
        <v>45839</v>
      </c>
      <c r="I66" s="18">
        <v>45849</v>
      </c>
      <c r="J66" s="29">
        <v>10</v>
      </c>
      <c r="K66" s="20">
        <v>52</v>
      </c>
      <c r="L66" s="20">
        <v>50</v>
      </c>
      <c r="M66" s="20">
        <f t="shared" ref="M66:M129" si="2">N66-L66</f>
        <v>470</v>
      </c>
      <c r="N66" s="20">
        <f t="shared" ref="N66:N129" si="3">J66*K66</f>
        <v>520</v>
      </c>
      <c r="O66" s="19" t="s">
        <v>243</v>
      </c>
      <c r="P66" s="19" t="s">
        <v>227</v>
      </c>
      <c r="Q66" s="19" t="s">
        <v>259</v>
      </c>
    </row>
    <row r="67" spans="1:17" x14ac:dyDescent="0.25">
      <c r="A67" s="19" t="s">
        <v>301</v>
      </c>
      <c r="B67" s="19" t="s">
        <v>220</v>
      </c>
      <c r="C67" s="19" t="s">
        <v>61</v>
      </c>
      <c r="D67" s="29">
        <v>102</v>
      </c>
      <c r="E67" s="29">
        <v>3</v>
      </c>
      <c r="F67" s="19" t="s">
        <v>230</v>
      </c>
      <c r="G67" s="30" t="str">
        <f>VLOOKUP(C67,Guests!$A$2:$E$189,4,0)</f>
        <v>Greece</v>
      </c>
      <c r="H67" s="18">
        <v>45829</v>
      </c>
      <c r="I67" s="18">
        <v>45832</v>
      </c>
      <c r="J67" s="29">
        <v>3</v>
      </c>
      <c r="K67" s="20">
        <v>40</v>
      </c>
      <c r="L67" s="20">
        <v>0</v>
      </c>
      <c r="M67" s="20">
        <f t="shared" si="2"/>
        <v>120</v>
      </c>
      <c r="N67" s="20">
        <f t="shared" si="3"/>
        <v>120</v>
      </c>
      <c r="O67" s="19" t="s">
        <v>222</v>
      </c>
      <c r="P67" s="19" t="s">
        <v>223</v>
      </c>
      <c r="Q67" s="19" t="s">
        <v>228</v>
      </c>
    </row>
    <row r="68" spans="1:17" x14ac:dyDescent="0.25">
      <c r="A68" s="19" t="s">
        <v>302</v>
      </c>
      <c r="B68" s="19" t="s">
        <v>220</v>
      </c>
      <c r="C68" s="19" t="s">
        <v>153</v>
      </c>
      <c r="D68" s="29">
        <v>1</v>
      </c>
      <c r="E68" s="29">
        <v>3</v>
      </c>
      <c r="F68" s="19" t="s">
        <v>230</v>
      </c>
      <c r="G68" s="30" t="str">
        <f>VLOOKUP(C68,Guests!$A$2:$E$189,4,0)</f>
        <v>Greece</v>
      </c>
      <c r="H68" s="18">
        <v>45883</v>
      </c>
      <c r="I68" s="18">
        <v>45886</v>
      </c>
      <c r="J68" s="29">
        <v>3</v>
      </c>
      <c r="K68" s="20">
        <v>60</v>
      </c>
      <c r="L68" s="20">
        <v>0</v>
      </c>
      <c r="M68" s="20">
        <f t="shared" si="2"/>
        <v>180</v>
      </c>
      <c r="N68" s="20">
        <f t="shared" si="3"/>
        <v>180</v>
      </c>
      <c r="O68" s="19" t="s">
        <v>261</v>
      </c>
      <c r="P68" s="19" t="s">
        <v>223</v>
      </c>
      <c r="Q68" s="19" t="s">
        <v>224</v>
      </c>
    </row>
    <row r="69" spans="1:17" x14ac:dyDescent="0.25">
      <c r="A69" s="19" t="s">
        <v>303</v>
      </c>
      <c r="B69" s="19" t="s">
        <v>220</v>
      </c>
      <c r="C69" s="19" t="s">
        <v>62</v>
      </c>
      <c r="D69" s="29">
        <v>106</v>
      </c>
      <c r="E69" s="29">
        <v>2</v>
      </c>
      <c r="F69" s="19" t="s">
        <v>226</v>
      </c>
      <c r="G69" s="30" t="str">
        <f>VLOOKUP(C69,Guests!$A$2:$E$189,4,0)</f>
        <v>Greece</v>
      </c>
      <c r="H69" s="18">
        <v>45815</v>
      </c>
      <c r="I69" s="18">
        <v>45817</v>
      </c>
      <c r="J69" s="29">
        <v>2</v>
      </c>
      <c r="K69" s="20">
        <v>35</v>
      </c>
      <c r="L69" s="20">
        <v>0</v>
      </c>
      <c r="M69" s="20">
        <f t="shared" si="2"/>
        <v>70</v>
      </c>
      <c r="N69" s="20">
        <f t="shared" si="3"/>
        <v>70</v>
      </c>
      <c r="O69" s="19" t="s">
        <v>222</v>
      </c>
      <c r="P69" s="19" t="s">
        <v>223</v>
      </c>
      <c r="Q69" s="19" t="s">
        <v>224</v>
      </c>
    </row>
    <row r="70" spans="1:17" x14ac:dyDescent="0.25">
      <c r="A70" s="19" t="s">
        <v>304</v>
      </c>
      <c r="B70" s="19" t="s">
        <v>220</v>
      </c>
      <c r="C70" s="19" t="s">
        <v>54</v>
      </c>
      <c r="D70" s="29">
        <v>101</v>
      </c>
      <c r="E70" s="29">
        <v>2</v>
      </c>
      <c r="F70" s="19" t="s">
        <v>226</v>
      </c>
      <c r="G70" s="30" t="str">
        <f>VLOOKUP(C70,Guests!$A$2:$E$189,4,0)</f>
        <v>Greece</v>
      </c>
      <c r="H70" s="18">
        <v>45816</v>
      </c>
      <c r="I70" s="18">
        <v>45817</v>
      </c>
      <c r="J70" s="29">
        <v>1</v>
      </c>
      <c r="K70" s="20">
        <v>30</v>
      </c>
      <c r="L70" s="20">
        <v>0</v>
      </c>
      <c r="M70" s="20">
        <f t="shared" si="2"/>
        <v>30</v>
      </c>
      <c r="N70" s="20">
        <f t="shared" si="3"/>
        <v>30</v>
      </c>
      <c r="O70" s="19" t="s">
        <v>222</v>
      </c>
      <c r="P70" s="19" t="s">
        <v>223</v>
      </c>
      <c r="Q70" s="19" t="s">
        <v>228</v>
      </c>
    </row>
    <row r="71" spans="1:17" x14ac:dyDescent="0.25">
      <c r="A71" s="19" t="s">
        <v>305</v>
      </c>
      <c r="B71" s="19" t="s">
        <v>220</v>
      </c>
      <c r="C71" s="19" t="s">
        <v>63</v>
      </c>
      <c r="D71" s="29">
        <v>4</v>
      </c>
      <c r="E71" s="29">
        <v>4</v>
      </c>
      <c r="F71" s="19" t="s">
        <v>230</v>
      </c>
      <c r="G71" s="30" t="str">
        <f>VLOOKUP(C71,Guests!$A$2:$E$189,4,0)</f>
        <v>MKD</v>
      </c>
      <c r="H71" s="18">
        <v>45827</v>
      </c>
      <c r="I71" s="18">
        <v>45830</v>
      </c>
      <c r="J71" s="29">
        <v>3</v>
      </c>
      <c r="K71" s="20">
        <v>47</v>
      </c>
      <c r="L71" s="20">
        <v>0</v>
      </c>
      <c r="M71" s="20">
        <f t="shared" si="2"/>
        <v>141</v>
      </c>
      <c r="N71" s="20">
        <f t="shared" si="3"/>
        <v>141</v>
      </c>
      <c r="O71" s="19" t="s">
        <v>222</v>
      </c>
      <c r="P71" s="19" t="s">
        <v>227</v>
      </c>
      <c r="Q71" s="19" t="s">
        <v>259</v>
      </c>
    </row>
    <row r="72" spans="1:17" x14ac:dyDescent="0.25">
      <c r="A72" s="19" t="s">
        <v>306</v>
      </c>
      <c r="B72" s="19" t="s">
        <v>220</v>
      </c>
      <c r="C72" s="19" t="s">
        <v>64</v>
      </c>
      <c r="D72" s="29">
        <v>106</v>
      </c>
      <c r="E72" s="29">
        <v>2</v>
      </c>
      <c r="F72" s="19" t="s">
        <v>226</v>
      </c>
      <c r="G72" s="30" t="str">
        <f>VLOOKUP(C72,Guests!$A$2:$E$189,4,0)</f>
        <v>Greece</v>
      </c>
      <c r="H72" s="18">
        <v>45827</v>
      </c>
      <c r="I72" s="18">
        <v>45830</v>
      </c>
      <c r="J72" s="29">
        <v>3</v>
      </c>
      <c r="K72" s="20">
        <v>35</v>
      </c>
      <c r="L72" s="20">
        <v>0</v>
      </c>
      <c r="M72" s="20">
        <f t="shared" si="2"/>
        <v>105</v>
      </c>
      <c r="N72" s="20">
        <f t="shared" si="3"/>
        <v>105</v>
      </c>
      <c r="O72" s="19" t="s">
        <v>222</v>
      </c>
      <c r="P72" s="19" t="s">
        <v>223</v>
      </c>
      <c r="Q72" s="19" t="s">
        <v>224</v>
      </c>
    </row>
    <row r="73" spans="1:17" x14ac:dyDescent="0.25">
      <c r="A73" s="19" t="s">
        <v>307</v>
      </c>
      <c r="B73" s="19" t="s">
        <v>220</v>
      </c>
      <c r="C73" s="19" t="s">
        <v>14</v>
      </c>
      <c r="D73" s="29">
        <v>2</v>
      </c>
      <c r="E73" s="29">
        <v>1</v>
      </c>
      <c r="F73" s="19" t="s">
        <v>221</v>
      </c>
      <c r="G73" s="30" t="str">
        <f>VLOOKUP(C73,Guests!$A$2:$E$189,4,0)</f>
        <v>Serbia</v>
      </c>
      <c r="H73" s="18">
        <v>45870</v>
      </c>
      <c r="I73" s="18">
        <v>45882</v>
      </c>
      <c r="J73" s="29">
        <v>12</v>
      </c>
      <c r="K73" s="20">
        <v>40</v>
      </c>
      <c r="L73" s="20">
        <v>0</v>
      </c>
      <c r="M73" s="20">
        <f t="shared" si="2"/>
        <v>480</v>
      </c>
      <c r="N73" s="20">
        <f t="shared" si="3"/>
        <v>480</v>
      </c>
      <c r="O73" s="19" t="s">
        <v>261</v>
      </c>
      <c r="P73" s="19" t="s">
        <v>227</v>
      </c>
      <c r="Q73" s="19" t="s">
        <v>228</v>
      </c>
    </row>
    <row r="74" spans="1:17" x14ac:dyDescent="0.25">
      <c r="A74" s="19" t="s">
        <v>308</v>
      </c>
      <c r="B74" s="19" t="s">
        <v>309</v>
      </c>
      <c r="C74" s="19" t="s">
        <v>65</v>
      </c>
      <c r="D74" s="29">
        <v>101</v>
      </c>
      <c r="E74" s="29">
        <v>4</v>
      </c>
      <c r="F74" s="19" t="s">
        <v>230</v>
      </c>
      <c r="G74" s="30" t="str">
        <f>VLOOKUP(C74,Guests!$A$2:$E$189,4,0)</f>
        <v>Greece</v>
      </c>
      <c r="H74" s="18">
        <v>45853</v>
      </c>
      <c r="I74" s="18">
        <v>45857</v>
      </c>
      <c r="J74" s="29">
        <v>4</v>
      </c>
      <c r="K74" s="20">
        <v>52</v>
      </c>
      <c r="L74" s="20">
        <v>0</v>
      </c>
      <c r="M74" s="20">
        <f t="shared" si="2"/>
        <v>208</v>
      </c>
      <c r="N74" s="20">
        <f t="shared" si="3"/>
        <v>208</v>
      </c>
      <c r="O74" s="19" t="s">
        <v>243</v>
      </c>
      <c r="P74" s="19" t="s">
        <v>223</v>
      </c>
      <c r="Q74" s="19" t="s">
        <v>228</v>
      </c>
    </row>
    <row r="75" spans="1:17" x14ac:dyDescent="0.25">
      <c r="A75" s="19" t="s">
        <v>310</v>
      </c>
      <c r="B75" s="19" t="s">
        <v>220</v>
      </c>
      <c r="C75" s="19" t="s">
        <v>66</v>
      </c>
      <c r="D75" s="29">
        <v>101</v>
      </c>
      <c r="E75" s="29">
        <v>2</v>
      </c>
      <c r="F75" s="19" t="s">
        <v>226</v>
      </c>
      <c r="G75" s="30" t="str">
        <f>VLOOKUP(C75,Guests!$A$2:$E$189,4,0)</f>
        <v>Greece</v>
      </c>
      <c r="H75" s="18">
        <v>45855</v>
      </c>
      <c r="I75" s="18">
        <v>45864</v>
      </c>
      <c r="J75" s="29">
        <v>9</v>
      </c>
      <c r="K75" s="20">
        <v>45</v>
      </c>
      <c r="L75" s="20">
        <v>0</v>
      </c>
      <c r="M75" s="20">
        <f t="shared" si="2"/>
        <v>405</v>
      </c>
      <c r="N75" s="20">
        <f t="shared" si="3"/>
        <v>405</v>
      </c>
      <c r="O75" s="19" t="s">
        <v>243</v>
      </c>
      <c r="P75" s="19" t="s">
        <v>223</v>
      </c>
      <c r="Q75" s="19" t="s">
        <v>224</v>
      </c>
    </row>
    <row r="76" spans="1:17" x14ac:dyDescent="0.25">
      <c r="A76" s="19" t="s">
        <v>311</v>
      </c>
      <c r="B76" s="19" t="s">
        <v>220</v>
      </c>
      <c r="C76" s="19" t="s">
        <v>67</v>
      </c>
      <c r="D76" s="29">
        <v>107</v>
      </c>
      <c r="E76" s="29">
        <v>2</v>
      </c>
      <c r="F76" s="19" t="s">
        <v>226</v>
      </c>
      <c r="G76" s="30" t="str">
        <f>VLOOKUP(C76,Guests!$A$2:$E$189,4,0)</f>
        <v>Greece</v>
      </c>
      <c r="H76" s="18">
        <v>45833</v>
      </c>
      <c r="I76" s="18">
        <v>45839</v>
      </c>
      <c r="J76" s="29">
        <v>6</v>
      </c>
      <c r="K76" s="20">
        <v>40</v>
      </c>
      <c r="L76" s="20">
        <v>52</v>
      </c>
      <c r="M76" s="20">
        <f t="shared" si="2"/>
        <v>188</v>
      </c>
      <c r="N76" s="20">
        <f t="shared" si="3"/>
        <v>240</v>
      </c>
      <c r="O76" s="19" t="s">
        <v>222</v>
      </c>
      <c r="P76" s="19" t="s">
        <v>223</v>
      </c>
      <c r="Q76" s="19" t="s">
        <v>228</v>
      </c>
    </row>
    <row r="77" spans="1:17" x14ac:dyDescent="0.25">
      <c r="A77" s="19" t="s">
        <v>312</v>
      </c>
      <c r="B77" s="19" t="s">
        <v>220</v>
      </c>
      <c r="C77" s="19" t="s">
        <v>68</v>
      </c>
      <c r="D77" s="29">
        <v>108</v>
      </c>
      <c r="E77" s="29">
        <v>2</v>
      </c>
      <c r="F77" s="19" t="s">
        <v>226</v>
      </c>
      <c r="G77" s="30" t="str">
        <f>VLOOKUP(C77,Guests!$A$2:$E$189,4,0)</f>
        <v>Greece</v>
      </c>
      <c r="H77" s="18">
        <v>45888</v>
      </c>
      <c r="I77" s="18">
        <v>45891</v>
      </c>
      <c r="J77" s="29">
        <v>3</v>
      </c>
      <c r="K77" s="20">
        <v>45</v>
      </c>
      <c r="L77" s="20">
        <v>0</v>
      </c>
      <c r="M77" s="20">
        <f t="shared" si="2"/>
        <v>135</v>
      </c>
      <c r="N77" s="20">
        <f t="shared" si="3"/>
        <v>135</v>
      </c>
      <c r="O77" s="19" t="s">
        <v>261</v>
      </c>
      <c r="P77" s="19" t="s">
        <v>223</v>
      </c>
      <c r="Q77" s="19" t="s">
        <v>228</v>
      </c>
    </row>
    <row r="78" spans="1:17" x14ac:dyDescent="0.25">
      <c r="A78" s="19" t="s">
        <v>313</v>
      </c>
      <c r="B78" s="19" t="s">
        <v>220</v>
      </c>
      <c r="C78" s="19" t="s">
        <v>69</v>
      </c>
      <c r="D78" s="29">
        <v>101</v>
      </c>
      <c r="E78" s="29">
        <v>2</v>
      </c>
      <c r="F78" s="19" t="s">
        <v>226</v>
      </c>
      <c r="G78" s="30" t="str">
        <f>VLOOKUP(C78,Guests!$A$2:$E$189,4,0)</f>
        <v>Serbia</v>
      </c>
      <c r="H78" s="18">
        <v>45827</v>
      </c>
      <c r="I78" s="18">
        <v>45843</v>
      </c>
      <c r="J78" s="29">
        <v>16</v>
      </c>
      <c r="K78" s="20">
        <v>30</v>
      </c>
      <c r="L78" s="20">
        <v>400</v>
      </c>
      <c r="M78" s="20">
        <f t="shared" si="2"/>
        <v>80</v>
      </c>
      <c r="N78" s="20">
        <f t="shared" si="3"/>
        <v>480</v>
      </c>
      <c r="O78" s="19" t="s">
        <v>222</v>
      </c>
      <c r="P78" s="19" t="s">
        <v>296</v>
      </c>
      <c r="Q78" s="19" t="s">
        <v>228</v>
      </c>
    </row>
    <row r="79" spans="1:17" x14ac:dyDescent="0.25">
      <c r="A79" s="19" t="s">
        <v>314</v>
      </c>
      <c r="B79" s="19" t="s">
        <v>220</v>
      </c>
      <c r="C79" s="19" t="s">
        <v>70</v>
      </c>
      <c r="D79" s="29">
        <v>107</v>
      </c>
      <c r="E79" s="29">
        <v>4</v>
      </c>
      <c r="F79" s="19" t="s">
        <v>230</v>
      </c>
      <c r="G79" s="30" t="str">
        <f>VLOOKUP(C79,Guests!$A$2:$E$189,4,0)</f>
        <v>Greece</v>
      </c>
      <c r="H79" s="18">
        <v>45859</v>
      </c>
      <c r="I79" s="18">
        <v>45864</v>
      </c>
      <c r="J79" s="29">
        <v>5</v>
      </c>
      <c r="K79" s="20">
        <v>47</v>
      </c>
      <c r="L79" s="20">
        <v>45</v>
      </c>
      <c r="M79" s="20">
        <f t="shared" si="2"/>
        <v>190</v>
      </c>
      <c r="N79" s="20">
        <f t="shared" si="3"/>
        <v>235</v>
      </c>
      <c r="O79" s="19" t="s">
        <v>243</v>
      </c>
      <c r="P79" s="19" t="s">
        <v>223</v>
      </c>
      <c r="Q79" s="19" t="s">
        <v>228</v>
      </c>
    </row>
    <row r="80" spans="1:17" x14ac:dyDescent="0.25">
      <c r="A80" s="19" t="s">
        <v>315</v>
      </c>
      <c r="B80" s="19" t="s">
        <v>309</v>
      </c>
      <c r="C80" s="19" t="s">
        <v>71</v>
      </c>
      <c r="D80" s="29">
        <v>106</v>
      </c>
      <c r="E80" s="29">
        <v>1</v>
      </c>
      <c r="F80" s="19" t="s">
        <v>221</v>
      </c>
      <c r="G80" s="30" t="str">
        <f>VLOOKUP(C80,Guests!$A$2:$E$189,4,0)</f>
        <v>Greece</v>
      </c>
      <c r="H80" s="18">
        <v>45847</v>
      </c>
      <c r="I80" s="18">
        <v>45853</v>
      </c>
      <c r="J80" s="29">
        <v>6</v>
      </c>
      <c r="K80" s="20">
        <v>40</v>
      </c>
      <c r="L80" s="20">
        <v>0</v>
      </c>
      <c r="M80" s="20">
        <f t="shared" si="2"/>
        <v>240</v>
      </c>
      <c r="N80" s="20">
        <f t="shared" si="3"/>
        <v>240</v>
      </c>
      <c r="O80" s="19" t="s">
        <v>243</v>
      </c>
      <c r="P80" s="19" t="s">
        <v>223</v>
      </c>
      <c r="Q80" s="19" t="s">
        <v>228</v>
      </c>
    </row>
    <row r="81" spans="1:17" x14ac:dyDescent="0.25">
      <c r="A81" s="19" t="s">
        <v>316</v>
      </c>
      <c r="B81" s="19" t="s">
        <v>220</v>
      </c>
      <c r="C81" s="19" t="s">
        <v>72</v>
      </c>
      <c r="D81" s="29">
        <v>1</v>
      </c>
      <c r="E81" s="29">
        <v>2</v>
      </c>
      <c r="F81" s="19" t="s">
        <v>226</v>
      </c>
      <c r="G81" s="30" t="str">
        <f>VLOOKUP(C81,Guests!$A$2:$E$189,4,0)</f>
        <v>Greece</v>
      </c>
      <c r="H81" s="18">
        <v>45849</v>
      </c>
      <c r="I81" s="18">
        <v>45851</v>
      </c>
      <c r="J81" s="29">
        <v>2</v>
      </c>
      <c r="K81" s="20">
        <v>45</v>
      </c>
      <c r="L81" s="20">
        <v>0</v>
      </c>
      <c r="M81" s="20">
        <f t="shared" si="2"/>
        <v>90</v>
      </c>
      <c r="N81" s="20">
        <f t="shared" si="3"/>
        <v>90</v>
      </c>
      <c r="O81" s="19" t="s">
        <v>243</v>
      </c>
      <c r="P81" s="19" t="s">
        <v>223</v>
      </c>
      <c r="Q81" s="19" t="s">
        <v>259</v>
      </c>
    </row>
    <row r="82" spans="1:17" x14ac:dyDescent="0.25">
      <c r="A82" s="19" t="s">
        <v>317</v>
      </c>
      <c r="B82" s="19" t="s">
        <v>220</v>
      </c>
      <c r="C82" s="19" t="s">
        <v>19</v>
      </c>
      <c r="D82" s="29">
        <v>6</v>
      </c>
      <c r="E82" s="29">
        <v>2</v>
      </c>
      <c r="F82" s="19" t="s">
        <v>226</v>
      </c>
      <c r="G82" s="30" t="str">
        <f>VLOOKUP(C82,Guests!$A$2:$E$189,4,0)</f>
        <v>MKD</v>
      </c>
      <c r="H82" s="18">
        <v>45888</v>
      </c>
      <c r="I82" s="18">
        <v>45898</v>
      </c>
      <c r="J82" s="29">
        <v>10</v>
      </c>
      <c r="K82" s="20">
        <v>35</v>
      </c>
      <c r="L82" s="20">
        <v>0</v>
      </c>
      <c r="M82" s="20">
        <f t="shared" si="2"/>
        <v>350</v>
      </c>
      <c r="N82" s="20">
        <f t="shared" si="3"/>
        <v>350</v>
      </c>
      <c r="O82" s="19" t="s">
        <v>261</v>
      </c>
      <c r="P82" s="19" t="s">
        <v>227</v>
      </c>
      <c r="Q82" s="19" t="s">
        <v>228</v>
      </c>
    </row>
    <row r="83" spans="1:17" x14ac:dyDescent="0.25">
      <c r="A83" s="19" t="s">
        <v>318</v>
      </c>
      <c r="B83" s="19" t="s">
        <v>220</v>
      </c>
      <c r="C83" s="19" t="s">
        <v>73</v>
      </c>
      <c r="D83" s="29">
        <v>103</v>
      </c>
      <c r="E83" s="29">
        <v>2</v>
      </c>
      <c r="F83" s="19" t="s">
        <v>226</v>
      </c>
      <c r="G83" s="30" t="str">
        <f>VLOOKUP(C83,Guests!$A$2:$E$189,4,0)</f>
        <v>MKD</v>
      </c>
      <c r="H83" s="18">
        <v>45864</v>
      </c>
      <c r="I83" s="18">
        <v>45878</v>
      </c>
      <c r="J83" s="29">
        <v>14</v>
      </c>
      <c r="K83" s="20">
        <v>42</v>
      </c>
      <c r="L83" s="20">
        <v>0</v>
      </c>
      <c r="M83" s="20">
        <f t="shared" si="2"/>
        <v>588</v>
      </c>
      <c r="N83" s="20">
        <f t="shared" si="3"/>
        <v>588</v>
      </c>
      <c r="O83" s="19" t="s">
        <v>243</v>
      </c>
      <c r="P83" s="19" t="s">
        <v>246</v>
      </c>
      <c r="Q83" s="19" t="s">
        <v>228</v>
      </c>
    </row>
    <row r="84" spans="1:17" x14ac:dyDescent="0.25">
      <c r="A84" s="19" t="s">
        <v>319</v>
      </c>
      <c r="B84" s="19" t="s">
        <v>309</v>
      </c>
      <c r="C84" s="19" t="s">
        <v>74</v>
      </c>
      <c r="D84" s="29">
        <v>3</v>
      </c>
      <c r="E84" s="29">
        <v>2</v>
      </c>
      <c r="F84" s="19" t="s">
        <v>226</v>
      </c>
      <c r="G84" s="30" t="str">
        <f>VLOOKUP(C84,Guests!$A$2:$E$189,4,0)</f>
        <v>Greece</v>
      </c>
      <c r="H84" s="18">
        <v>45826</v>
      </c>
      <c r="I84" s="18">
        <v>45832</v>
      </c>
      <c r="J84" s="29">
        <v>6</v>
      </c>
      <c r="K84" s="20">
        <v>40</v>
      </c>
      <c r="L84" s="20">
        <v>0</v>
      </c>
      <c r="M84" s="20">
        <f t="shared" si="2"/>
        <v>240</v>
      </c>
      <c r="N84" s="20">
        <f t="shared" si="3"/>
        <v>240</v>
      </c>
      <c r="O84" s="19" t="s">
        <v>222</v>
      </c>
      <c r="P84" s="19" t="s">
        <v>223</v>
      </c>
      <c r="Q84" s="19" t="s">
        <v>228</v>
      </c>
    </row>
    <row r="85" spans="1:17" x14ac:dyDescent="0.25">
      <c r="A85" s="19" t="s">
        <v>320</v>
      </c>
      <c r="B85" s="19" t="s">
        <v>220</v>
      </c>
      <c r="C85" s="19" t="s">
        <v>75</v>
      </c>
      <c r="D85" s="29">
        <v>102</v>
      </c>
      <c r="E85" s="29">
        <v>2</v>
      </c>
      <c r="F85" s="19" t="s">
        <v>226</v>
      </c>
      <c r="G85" s="30" t="str">
        <f>VLOOKUP(C85,Guests!$A$2:$E$189,4,0)</f>
        <v>Serbia</v>
      </c>
      <c r="H85" s="18">
        <v>45860</v>
      </c>
      <c r="I85" s="18">
        <v>45867</v>
      </c>
      <c r="J85" s="29">
        <v>7</v>
      </c>
      <c r="K85" s="20">
        <v>47</v>
      </c>
      <c r="L85" s="20">
        <v>45</v>
      </c>
      <c r="M85" s="20">
        <f t="shared" si="2"/>
        <v>284</v>
      </c>
      <c r="N85" s="20">
        <f t="shared" si="3"/>
        <v>329</v>
      </c>
      <c r="O85" s="19" t="s">
        <v>243</v>
      </c>
      <c r="P85" s="19" t="s">
        <v>227</v>
      </c>
      <c r="Q85" s="19" t="s">
        <v>228</v>
      </c>
    </row>
    <row r="86" spans="1:17" x14ac:dyDescent="0.25">
      <c r="A86" s="19" t="s">
        <v>321</v>
      </c>
      <c r="B86" s="19" t="s">
        <v>220</v>
      </c>
      <c r="C86" s="19" t="s">
        <v>34</v>
      </c>
      <c r="D86" s="29">
        <v>3</v>
      </c>
      <c r="E86" s="29">
        <v>2</v>
      </c>
      <c r="F86" s="19" t="s">
        <v>226</v>
      </c>
      <c r="G86" s="30" t="str">
        <f>VLOOKUP(C86,Guests!$A$2:$E$189,4,0)</f>
        <v>Serbia</v>
      </c>
      <c r="H86" s="18">
        <v>45859</v>
      </c>
      <c r="I86" s="18">
        <v>45870</v>
      </c>
      <c r="J86" s="29">
        <v>11</v>
      </c>
      <c r="K86" s="20">
        <v>42</v>
      </c>
      <c r="L86" s="20">
        <v>0</v>
      </c>
      <c r="M86" s="20">
        <f t="shared" si="2"/>
        <v>462</v>
      </c>
      <c r="N86" s="20">
        <f t="shared" si="3"/>
        <v>462</v>
      </c>
      <c r="O86" s="19" t="s">
        <v>243</v>
      </c>
      <c r="P86" s="19" t="s">
        <v>227</v>
      </c>
      <c r="Q86" s="19" t="s">
        <v>259</v>
      </c>
    </row>
    <row r="87" spans="1:17" x14ac:dyDescent="0.25">
      <c r="A87" s="19" t="s">
        <v>322</v>
      </c>
      <c r="B87" s="19" t="s">
        <v>220</v>
      </c>
      <c r="C87" s="19" t="s">
        <v>76</v>
      </c>
      <c r="D87" s="29">
        <v>6</v>
      </c>
      <c r="E87" s="29">
        <v>2</v>
      </c>
      <c r="F87" s="19" t="s">
        <v>226</v>
      </c>
      <c r="G87" s="30" t="str">
        <f>VLOOKUP(C87,Guests!$A$2:$E$189,4,0)</f>
        <v>Greece</v>
      </c>
      <c r="H87" s="18">
        <v>45828</v>
      </c>
      <c r="I87" s="18">
        <v>45832</v>
      </c>
      <c r="J87" s="29">
        <v>4</v>
      </c>
      <c r="K87" s="20">
        <v>35</v>
      </c>
      <c r="L87" s="20">
        <v>0</v>
      </c>
      <c r="M87" s="20">
        <f t="shared" si="2"/>
        <v>140</v>
      </c>
      <c r="N87" s="20">
        <f t="shared" si="3"/>
        <v>140</v>
      </c>
      <c r="O87" s="19" t="s">
        <v>222</v>
      </c>
      <c r="P87" s="19" t="s">
        <v>223</v>
      </c>
      <c r="Q87" s="19" t="s">
        <v>228</v>
      </c>
    </row>
    <row r="88" spans="1:17" x14ac:dyDescent="0.25">
      <c r="A88" s="19" t="s">
        <v>323</v>
      </c>
      <c r="B88" s="19" t="s">
        <v>220</v>
      </c>
      <c r="C88" s="19" t="s">
        <v>81</v>
      </c>
      <c r="D88" s="29">
        <v>3</v>
      </c>
      <c r="E88" s="29">
        <v>2</v>
      </c>
      <c r="F88" s="19" t="s">
        <v>226</v>
      </c>
      <c r="G88" s="30" t="str">
        <f>VLOOKUP(C88,Guests!$A$2:$E$189,4,0)</f>
        <v>Greece</v>
      </c>
      <c r="H88" s="18">
        <v>45828</v>
      </c>
      <c r="I88" s="18">
        <v>45831</v>
      </c>
      <c r="J88" s="29">
        <v>3</v>
      </c>
      <c r="K88" s="20">
        <v>40</v>
      </c>
      <c r="L88" s="20">
        <v>0</v>
      </c>
      <c r="M88" s="20">
        <f t="shared" si="2"/>
        <v>120</v>
      </c>
      <c r="N88" s="20">
        <f t="shared" si="3"/>
        <v>120</v>
      </c>
      <c r="O88" s="19" t="s">
        <v>222</v>
      </c>
      <c r="P88" s="19" t="s">
        <v>223</v>
      </c>
      <c r="Q88" s="19" t="s">
        <v>228</v>
      </c>
    </row>
    <row r="89" spans="1:17" x14ac:dyDescent="0.25">
      <c r="A89" s="19" t="s">
        <v>324</v>
      </c>
      <c r="B89" s="19" t="s">
        <v>220</v>
      </c>
      <c r="C89" s="19" t="s">
        <v>82</v>
      </c>
      <c r="D89" s="29">
        <v>103</v>
      </c>
      <c r="E89" s="29">
        <v>2</v>
      </c>
      <c r="F89" s="19" t="s">
        <v>226</v>
      </c>
      <c r="G89" s="30" t="str">
        <f>VLOOKUP(C89,Guests!$A$2:$E$189,4,0)</f>
        <v>Greece</v>
      </c>
      <c r="H89" s="18">
        <v>45828</v>
      </c>
      <c r="I89" s="18">
        <v>45830</v>
      </c>
      <c r="J89" s="29">
        <v>2</v>
      </c>
      <c r="K89" s="20">
        <v>40</v>
      </c>
      <c r="L89" s="20">
        <v>0</v>
      </c>
      <c r="M89" s="20">
        <f t="shared" si="2"/>
        <v>80</v>
      </c>
      <c r="N89" s="20">
        <f t="shared" si="3"/>
        <v>80</v>
      </c>
      <c r="O89" s="19" t="s">
        <v>222</v>
      </c>
      <c r="P89" s="19" t="s">
        <v>223</v>
      </c>
      <c r="Q89" s="19" t="s">
        <v>228</v>
      </c>
    </row>
    <row r="90" spans="1:17" x14ac:dyDescent="0.25">
      <c r="A90" s="19" t="s">
        <v>325</v>
      </c>
      <c r="B90" s="19" t="s">
        <v>309</v>
      </c>
      <c r="C90" s="19" t="s">
        <v>77</v>
      </c>
      <c r="D90" s="29">
        <v>106</v>
      </c>
      <c r="E90" s="29">
        <v>2</v>
      </c>
      <c r="F90" s="19" t="s">
        <v>226</v>
      </c>
      <c r="G90" s="30" t="str">
        <f>VLOOKUP(C90,Guests!$A$2:$E$189,4,0)</f>
        <v>Greece</v>
      </c>
      <c r="H90" s="18">
        <v>45836</v>
      </c>
      <c r="I90" s="18">
        <v>45837</v>
      </c>
      <c r="J90" s="29">
        <v>1</v>
      </c>
      <c r="K90" s="20">
        <v>40</v>
      </c>
      <c r="L90" s="20">
        <v>0</v>
      </c>
      <c r="M90" s="20">
        <f t="shared" si="2"/>
        <v>40</v>
      </c>
      <c r="N90" s="20">
        <f t="shared" si="3"/>
        <v>40</v>
      </c>
      <c r="O90" s="19" t="s">
        <v>222</v>
      </c>
      <c r="P90" s="19" t="s">
        <v>223</v>
      </c>
      <c r="Q90" s="19" t="s">
        <v>228</v>
      </c>
    </row>
    <row r="91" spans="1:17" x14ac:dyDescent="0.25">
      <c r="A91" s="19" t="s">
        <v>326</v>
      </c>
      <c r="B91" s="19" t="s">
        <v>309</v>
      </c>
      <c r="C91" s="19" t="s">
        <v>78</v>
      </c>
      <c r="D91" s="29">
        <v>4</v>
      </c>
      <c r="E91" s="29">
        <v>4</v>
      </c>
      <c r="F91" s="19" t="s">
        <v>230</v>
      </c>
      <c r="G91" s="30" t="str">
        <f>VLOOKUP(C91,Guests!$A$2:$E$189,4,0)</f>
        <v>Serbia</v>
      </c>
      <c r="H91" s="18">
        <v>45851</v>
      </c>
      <c r="I91" s="18">
        <v>45856</v>
      </c>
      <c r="J91" s="29">
        <v>5</v>
      </c>
      <c r="K91" s="20">
        <v>52</v>
      </c>
      <c r="L91" s="20">
        <v>0</v>
      </c>
      <c r="M91" s="20">
        <f t="shared" si="2"/>
        <v>260</v>
      </c>
      <c r="N91" s="20">
        <f t="shared" si="3"/>
        <v>260</v>
      </c>
      <c r="O91" s="19" t="s">
        <v>243</v>
      </c>
      <c r="P91" s="19" t="s">
        <v>227</v>
      </c>
      <c r="Q91" s="19" t="s">
        <v>259</v>
      </c>
    </row>
    <row r="92" spans="1:17" x14ac:dyDescent="0.25">
      <c r="A92" s="19" t="s">
        <v>327</v>
      </c>
      <c r="B92" s="19" t="s">
        <v>220</v>
      </c>
      <c r="C92" s="19" t="s">
        <v>79</v>
      </c>
      <c r="D92" s="29">
        <v>106</v>
      </c>
      <c r="E92" s="29">
        <v>3</v>
      </c>
      <c r="F92" s="19" t="s">
        <v>230</v>
      </c>
      <c r="G92" s="30" t="str">
        <f>VLOOKUP(C92,Guests!$A$2:$E$189,4,0)</f>
        <v>Greece</v>
      </c>
      <c r="H92" s="18">
        <v>45881</v>
      </c>
      <c r="I92" s="18">
        <v>45886</v>
      </c>
      <c r="J92" s="29">
        <v>5</v>
      </c>
      <c r="K92" s="20">
        <v>50</v>
      </c>
      <c r="L92" s="20">
        <v>0</v>
      </c>
      <c r="M92" s="20">
        <f t="shared" si="2"/>
        <v>250</v>
      </c>
      <c r="N92" s="20">
        <f t="shared" si="3"/>
        <v>250</v>
      </c>
      <c r="O92" s="19" t="s">
        <v>261</v>
      </c>
      <c r="P92" s="19" t="s">
        <v>223</v>
      </c>
      <c r="Q92" s="19" t="s">
        <v>259</v>
      </c>
    </row>
    <row r="93" spans="1:17" x14ac:dyDescent="0.25">
      <c r="A93" s="19" t="s">
        <v>328</v>
      </c>
      <c r="B93" s="19" t="s">
        <v>220</v>
      </c>
      <c r="C93" s="19" t="s">
        <v>80</v>
      </c>
      <c r="D93" s="29">
        <v>104</v>
      </c>
      <c r="E93" s="29">
        <v>2</v>
      </c>
      <c r="F93" s="19" t="s">
        <v>226</v>
      </c>
      <c r="G93" s="30" t="str">
        <f>VLOOKUP(C93,Guests!$A$2:$E$189,4,0)</f>
        <v>MKD</v>
      </c>
      <c r="H93" s="18">
        <v>45870</v>
      </c>
      <c r="I93" s="18">
        <v>45877</v>
      </c>
      <c r="J93" s="29">
        <v>7</v>
      </c>
      <c r="K93" s="20">
        <v>45</v>
      </c>
      <c r="L93" s="20">
        <v>0</v>
      </c>
      <c r="M93" s="20">
        <f t="shared" si="2"/>
        <v>315</v>
      </c>
      <c r="N93" s="20">
        <f t="shared" si="3"/>
        <v>315</v>
      </c>
      <c r="O93" s="19" t="s">
        <v>261</v>
      </c>
      <c r="P93" s="19" t="s">
        <v>227</v>
      </c>
      <c r="Q93" s="19" t="s">
        <v>228</v>
      </c>
    </row>
    <row r="94" spans="1:17" x14ac:dyDescent="0.25">
      <c r="A94" s="19" t="s">
        <v>329</v>
      </c>
      <c r="B94" s="19" t="s">
        <v>220</v>
      </c>
      <c r="C94" s="19" t="s">
        <v>83</v>
      </c>
      <c r="D94" s="29">
        <v>6</v>
      </c>
      <c r="E94" s="29">
        <v>2</v>
      </c>
      <c r="F94" s="19" t="s">
        <v>226</v>
      </c>
      <c r="G94" s="30" t="str">
        <f>VLOOKUP(C94,Guests!$A$2:$E$189,4,0)</f>
        <v>Greece</v>
      </c>
      <c r="H94" s="18">
        <v>45832</v>
      </c>
      <c r="I94" s="18">
        <v>45838</v>
      </c>
      <c r="J94" s="29">
        <v>6</v>
      </c>
      <c r="K94" s="20">
        <v>42</v>
      </c>
      <c r="L94" s="20">
        <v>0</v>
      </c>
      <c r="M94" s="20">
        <f t="shared" si="2"/>
        <v>252</v>
      </c>
      <c r="N94" s="20">
        <f t="shared" si="3"/>
        <v>252</v>
      </c>
      <c r="O94" s="19" t="s">
        <v>222</v>
      </c>
      <c r="P94" s="19" t="s">
        <v>223</v>
      </c>
      <c r="Q94" s="19" t="s">
        <v>228</v>
      </c>
    </row>
    <row r="95" spans="1:17" x14ac:dyDescent="0.25">
      <c r="A95" s="19" t="s">
        <v>330</v>
      </c>
      <c r="B95" s="19" t="s">
        <v>220</v>
      </c>
      <c r="C95" s="19" t="s">
        <v>84</v>
      </c>
      <c r="D95" s="29">
        <v>3</v>
      </c>
      <c r="E95" s="29">
        <v>2</v>
      </c>
      <c r="F95" s="19" t="s">
        <v>226</v>
      </c>
      <c r="G95" s="30" t="str">
        <f>VLOOKUP(C95,Guests!$A$2:$E$189,4,0)</f>
        <v>Greece</v>
      </c>
      <c r="H95" s="18">
        <v>45850</v>
      </c>
      <c r="I95" s="18">
        <v>45857</v>
      </c>
      <c r="J95" s="29">
        <v>7</v>
      </c>
      <c r="K95" s="20">
        <v>42</v>
      </c>
      <c r="L95" s="20">
        <v>0</v>
      </c>
      <c r="M95" s="20">
        <f t="shared" si="2"/>
        <v>294</v>
      </c>
      <c r="N95" s="20">
        <f t="shared" si="3"/>
        <v>294</v>
      </c>
      <c r="O95" s="19" t="s">
        <v>243</v>
      </c>
      <c r="P95" s="19" t="s">
        <v>223</v>
      </c>
      <c r="Q95" s="19" t="s">
        <v>228</v>
      </c>
    </row>
    <row r="96" spans="1:17" x14ac:dyDescent="0.25">
      <c r="A96" s="19" t="s">
        <v>331</v>
      </c>
      <c r="B96" s="19" t="s">
        <v>220</v>
      </c>
      <c r="C96" s="19" t="s">
        <v>85</v>
      </c>
      <c r="D96" s="29">
        <v>105</v>
      </c>
      <c r="E96" s="29">
        <v>3</v>
      </c>
      <c r="F96" s="19" t="s">
        <v>230</v>
      </c>
      <c r="G96" s="30" t="str">
        <f>VLOOKUP(C96,Guests!$A$2:$E$189,4,0)</f>
        <v>Serbia</v>
      </c>
      <c r="H96" s="18">
        <v>45866</v>
      </c>
      <c r="I96" s="18">
        <v>45874</v>
      </c>
      <c r="J96" s="29">
        <v>8</v>
      </c>
      <c r="K96" s="20">
        <v>47</v>
      </c>
      <c r="L96" s="20">
        <v>0</v>
      </c>
      <c r="M96" s="20">
        <f t="shared" si="2"/>
        <v>376</v>
      </c>
      <c r="N96" s="20">
        <f t="shared" si="3"/>
        <v>376</v>
      </c>
      <c r="O96" s="19" t="s">
        <v>243</v>
      </c>
      <c r="P96" s="19" t="s">
        <v>227</v>
      </c>
      <c r="Q96" s="19" t="s">
        <v>259</v>
      </c>
    </row>
    <row r="97" spans="1:17" x14ac:dyDescent="0.25">
      <c r="A97" s="19" t="s">
        <v>332</v>
      </c>
      <c r="B97" s="19" t="s">
        <v>309</v>
      </c>
      <c r="C97" s="19" t="s">
        <v>19</v>
      </c>
      <c r="D97" s="29">
        <v>7</v>
      </c>
      <c r="E97" s="29">
        <v>2</v>
      </c>
      <c r="F97" s="19" t="s">
        <v>226</v>
      </c>
      <c r="G97" s="30" t="str">
        <f>VLOOKUP(C97,Guests!$A$2:$E$189,4,0)</f>
        <v>MKD</v>
      </c>
      <c r="H97" s="18">
        <v>45888</v>
      </c>
      <c r="I97" s="18">
        <v>45898</v>
      </c>
      <c r="J97" s="29">
        <v>10</v>
      </c>
      <c r="K97" s="20">
        <v>40</v>
      </c>
      <c r="L97" s="20">
        <v>0</v>
      </c>
      <c r="M97" s="20">
        <f t="shared" si="2"/>
        <v>400</v>
      </c>
      <c r="N97" s="20">
        <f t="shared" si="3"/>
        <v>400</v>
      </c>
      <c r="O97" s="19" t="s">
        <v>261</v>
      </c>
      <c r="P97" s="19" t="s">
        <v>227</v>
      </c>
      <c r="Q97" s="19" t="s">
        <v>228</v>
      </c>
    </row>
    <row r="98" spans="1:17" x14ac:dyDescent="0.25">
      <c r="A98" s="19" t="s">
        <v>333</v>
      </c>
      <c r="B98" s="19" t="s">
        <v>220</v>
      </c>
      <c r="C98" s="19" t="s">
        <v>87</v>
      </c>
      <c r="D98" s="29">
        <v>107</v>
      </c>
      <c r="E98" s="29">
        <v>2</v>
      </c>
      <c r="F98" s="19" t="s">
        <v>226</v>
      </c>
      <c r="G98" s="30" t="str">
        <f>VLOOKUP(C98,Guests!$A$2:$E$189,4,0)</f>
        <v>Serbia</v>
      </c>
      <c r="H98" s="18">
        <v>45843</v>
      </c>
      <c r="I98" s="18">
        <v>45851</v>
      </c>
      <c r="J98" s="29">
        <v>8</v>
      </c>
      <c r="K98" s="20">
        <v>42</v>
      </c>
      <c r="L98" s="20">
        <v>0</v>
      </c>
      <c r="M98" s="20">
        <f t="shared" si="2"/>
        <v>336</v>
      </c>
      <c r="N98" s="20">
        <f t="shared" si="3"/>
        <v>336</v>
      </c>
      <c r="O98" s="19" t="s">
        <v>243</v>
      </c>
      <c r="P98" s="19" t="s">
        <v>227</v>
      </c>
      <c r="Q98" s="19" t="s">
        <v>228</v>
      </c>
    </row>
    <row r="99" spans="1:17" x14ac:dyDescent="0.25">
      <c r="A99" s="19" t="s">
        <v>334</v>
      </c>
      <c r="B99" s="19" t="s">
        <v>220</v>
      </c>
      <c r="C99" s="19" t="s">
        <v>88</v>
      </c>
      <c r="D99" s="29">
        <v>105</v>
      </c>
      <c r="E99" s="29">
        <v>4</v>
      </c>
      <c r="F99" s="19" t="s">
        <v>230</v>
      </c>
      <c r="G99" s="30" t="str">
        <f>VLOOKUP(C99,Guests!$A$2:$E$189,4,0)</f>
        <v>Serbia</v>
      </c>
      <c r="H99" s="18">
        <v>45847</v>
      </c>
      <c r="I99" s="18">
        <v>45854</v>
      </c>
      <c r="J99" s="29">
        <v>7</v>
      </c>
      <c r="K99" s="20">
        <v>50</v>
      </c>
      <c r="L99" s="20">
        <v>0</v>
      </c>
      <c r="M99" s="20">
        <f t="shared" si="2"/>
        <v>350</v>
      </c>
      <c r="N99" s="20">
        <f t="shared" si="3"/>
        <v>350</v>
      </c>
      <c r="O99" s="19" t="s">
        <v>243</v>
      </c>
      <c r="P99" s="19" t="s">
        <v>227</v>
      </c>
      <c r="Q99" s="19" t="s">
        <v>259</v>
      </c>
    </row>
    <row r="100" spans="1:17" x14ac:dyDescent="0.25">
      <c r="A100" s="19" t="s">
        <v>335</v>
      </c>
      <c r="B100" s="19" t="s">
        <v>220</v>
      </c>
      <c r="C100" s="19" t="s">
        <v>89</v>
      </c>
      <c r="D100" s="29">
        <v>4</v>
      </c>
      <c r="E100" s="29">
        <v>4</v>
      </c>
      <c r="F100" s="19" t="s">
        <v>230</v>
      </c>
      <c r="G100" s="30" t="str">
        <f>VLOOKUP(C100,Guests!$A$2:$E$189,4,0)</f>
        <v>Greece</v>
      </c>
      <c r="H100" s="18">
        <v>45830</v>
      </c>
      <c r="I100" s="18">
        <v>45832</v>
      </c>
      <c r="J100" s="29">
        <v>2</v>
      </c>
      <c r="K100" s="20">
        <v>40</v>
      </c>
      <c r="L100" s="20">
        <v>0</v>
      </c>
      <c r="M100" s="20">
        <f t="shared" si="2"/>
        <v>80</v>
      </c>
      <c r="N100" s="20">
        <f t="shared" si="3"/>
        <v>80</v>
      </c>
      <c r="O100" s="19" t="s">
        <v>222</v>
      </c>
      <c r="P100" s="19" t="s">
        <v>223</v>
      </c>
      <c r="Q100" s="19" t="s">
        <v>228</v>
      </c>
    </row>
    <row r="101" spans="1:17" x14ac:dyDescent="0.25">
      <c r="A101" s="19" t="s">
        <v>336</v>
      </c>
      <c r="B101" s="19" t="s">
        <v>220</v>
      </c>
      <c r="C101" s="19" t="s">
        <v>90</v>
      </c>
      <c r="D101" s="29">
        <v>108</v>
      </c>
      <c r="E101" s="29">
        <v>2</v>
      </c>
      <c r="F101" s="19" t="s">
        <v>226</v>
      </c>
      <c r="G101" s="30" t="str">
        <f>VLOOKUP(C101,Guests!$A$2:$E$189,4,0)</f>
        <v>Greece</v>
      </c>
      <c r="H101" s="18">
        <v>45847</v>
      </c>
      <c r="I101" s="18">
        <v>45852</v>
      </c>
      <c r="J101" s="29">
        <v>5</v>
      </c>
      <c r="K101" s="20">
        <v>40</v>
      </c>
      <c r="L101" s="20">
        <v>0</v>
      </c>
      <c r="M101" s="20">
        <f t="shared" si="2"/>
        <v>200</v>
      </c>
      <c r="N101" s="20">
        <f t="shared" si="3"/>
        <v>200</v>
      </c>
      <c r="O101" s="19" t="s">
        <v>243</v>
      </c>
      <c r="P101" s="19" t="s">
        <v>223</v>
      </c>
      <c r="Q101" s="19" t="s">
        <v>228</v>
      </c>
    </row>
    <row r="102" spans="1:17" x14ac:dyDescent="0.25">
      <c r="A102" s="19" t="s">
        <v>337</v>
      </c>
      <c r="B102" s="19" t="s">
        <v>220</v>
      </c>
      <c r="C102" s="19" t="s">
        <v>101</v>
      </c>
      <c r="D102" s="29">
        <v>7</v>
      </c>
      <c r="E102" s="29">
        <v>2</v>
      </c>
      <c r="F102" s="19" t="s">
        <v>226</v>
      </c>
      <c r="G102" s="30" t="str">
        <f>VLOOKUP(C102,Guests!$A$2:$E$189,4,0)</f>
        <v>Belgium</v>
      </c>
      <c r="H102" s="18">
        <v>45839</v>
      </c>
      <c r="I102" s="18">
        <v>45848</v>
      </c>
      <c r="J102" s="29">
        <v>9</v>
      </c>
      <c r="K102" s="20">
        <v>40</v>
      </c>
      <c r="L102" s="20">
        <v>0</v>
      </c>
      <c r="M102" s="20">
        <f t="shared" si="2"/>
        <v>360</v>
      </c>
      <c r="N102" s="20">
        <f t="shared" si="3"/>
        <v>360</v>
      </c>
      <c r="O102" s="19" t="s">
        <v>243</v>
      </c>
      <c r="P102" s="19" t="s">
        <v>227</v>
      </c>
      <c r="Q102" s="19" t="s">
        <v>228</v>
      </c>
    </row>
    <row r="103" spans="1:17" x14ac:dyDescent="0.25">
      <c r="A103" s="19" t="s">
        <v>338</v>
      </c>
      <c r="B103" s="19" t="s">
        <v>220</v>
      </c>
      <c r="C103" s="19" t="s">
        <v>101</v>
      </c>
      <c r="D103" s="29">
        <v>8</v>
      </c>
      <c r="E103" s="29">
        <v>2</v>
      </c>
      <c r="F103" s="19" t="s">
        <v>226</v>
      </c>
      <c r="G103" s="30" t="str">
        <f>VLOOKUP(C103,Guests!$A$2:$E$189,4,0)</f>
        <v>Belgium</v>
      </c>
      <c r="H103" s="18">
        <v>45839</v>
      </c>
      <c r="I103" s="18">
        <v>45848</v>
      </c>
      <c r="J103" s="29">
        <v>9</v>
      </c>
      <c r="K103" s="20">
        <v>40</v>
      </c>
      <c r="L103" s="20">
        <v>0</v>
      </c>
      <c r="M103" s="20">
        <f t="shared" si="2"/>
        <v>360</v>
      </c>
      <c r="N103" s="20">
        <f t="shared" si="3"/>
        <v>360</v>
      </c>
      <c r="O103" s="19" t="s">
        <v>243</v>
      </c>
      <c r="P103" s="19" t="s">
        <v>227</v>
      </c>
      <c r="Q103" s="19" t="s">
        <v>228</v>
      </c>
    </row>
    <row r="104" spans="1:17" x14ac:dyDescent="0.25">
      <c r="A104" s="19" t="s">
        <v>339</v>
      </c>
      <c r="B104" s="19" t="s">
        <v>220</v>
      </c>
      <c r="C104" s="19" t="s">
        <v>91</v>
      </c>
      <c r="D104" s="29">
        <v>102</v>
      </c>
      <c r="E104" s="29">
        <v>2</v>
      </c>
      <c r="F104" s="19" t="s">
        <v>226</v>
      </c>
      <c r="G104" s="30" t="str">
        <f>VLOOKUP(C104,Guests!$A$2:$E$189,4,0)</f>
        <v>MKD</v>
      </c>
      <c r="H104" s="18">
        <v>45842</v>
      </c>
      <c r="I104" s="18">
        <v>45845</v>
      </c>
      <c r="J104" s="29">
        <v>3</v>
      </c>
      <c r="K104" s="20">
        <v>37</v>
      </c>
      <c r="L104" s="20">
        <v>0</v>
      </c>
      <c r="M104" s="20">
        <f t="shared" si="2"/>
        <v>111</v>
      </c>
      <c r="N104" s="20">
        <f t="shared" si="3"/>
        <v>111</v>
      </c>
      <c r="O104" s="19" t="s">
        <v>243</v>
      </c>
      <c r="P104" s="19" t="s">
        <v>246</v>
      </c>
      <c r="Q104" s="19" t="s">
        <v>228</v>
      </c>
    </row>
    <row r="105" spans="1:17" x14ac:dyDescent="0.25">
      <c r="A105" s="19" t="s">
        <v>340</v>
      </c>
      <c r="B105" s="19" t="s">
        <v>220</v>
      </c>
      <c r="C105" s="19" t="s">
        <v>92</v>
      </c>
      <c r="D105" s="29">
        <v>106</v>
      </c>
      <c r="E105" s="29">
        <v>3</v>
      </c>
      <c r="F105" s="19" t="s">
        <v>230</v>
      </c>
      <c r="G105" s="30" t="str">
        <f>VLOOKUP(C105,Guests!$A$2:$E$189,4,0)</f>
        <v>MKD</v>
      </c>
      <c r="H105" s="18">
        <v>45836</v>
      </c>
      <c r="I105" s="18">
        <v>45837</v>
      </c>
      <c r="J105" s="29">
        <v>1</v>
      </c>
      <c r="K105" s="20">
        <v>40</v>
      </c>
      <c r="L105" s="20">
        <v>0</v>
      </c>
      <c r="M105" s="20">
        <f t="shared" si="2"/>
        <v>40</v>
      </c>
      <c r="N105" s="20">
        <f t="shared" si="3"/>
        <v>40</v>
      </c>
      <c r="O105" s="19" t="s">
        <v>222</v>
      </c>
      <c r="P105" s="19" t="s">
        <v>223</v>
      </c>
      <c r="Q105" s="19" t="s">
        <v>228</v>
      </c>
    </row>
    <row r="106" spans="1:17" x14ac:dyDescent="0.25">
      <c r="A106" s="19" t="s">
        <v>341</v>
      </c>
      <c r="B106" s="19" t="s">
        <v>220</v>
      </c>
      <c r="C106" s="19" t="s">
        <v>93</v>
      </c>
      <c r="D106" s="29">
        <v>3</v>
      </c>
      <c r="E106" s="29">
        <v>2</v>
      </c>
      <c r="F106" s="19" t="s">
        <v>226</v>
      </c>
      <c r="G106" s="30" t="str">
        <f>VLOOKUP(C106,Guests!$A$2:$E$189,4,0)</f>
        <v>Greece</v>
      </c>
      <c r="H106" s="18">
        <v>45839</v>
      </c>
      <c r="I106" s="18">
        <v>45842</v>
      </c>
      <c r="J106" s="29">
        <v>3</v>
      </c>
      <c r="K106" s="20">
        <v>40</v>
      </c>
      <c r="L106" s="20">
        <v>0</v>
      </c>
      <c r="M106" s="20">
        <f t="shared" si="2"/>
        <v>120</v>
      </c>
      <c r="N106" s="20">
        <f t="shared" si="3"/>
        <v>120</v>
      </c>
      <c r="O106" s="19" t="s">
        <v>243</v>
      </c>
      <c r="P106" s="19" t="s">
        <v>223</v>
      </c>
      <c r="Q106" s="19" t="s">
        <v>259</v>
      </c>
    </row>
    <row r="107" spans="1:17" x14ac:dyDescent="0.25">
      <c r="A107" s="19" t="s">
        <v>342</v>
      </c>
      <c r="B107" s="19" t="s">
        <v>220</v>
      </c>
      <c r="C107" s="19" t="s">
        <v>94</v>
      </c>
      <c r="D107" s="29">
        <v>107</v>
      </c>
      <c r="E107" s="29">
        <v>3</v>
      </c>
      <c r="F107" s="19" t="s">
        <v>230</v>
      </c>
      <c r="G107" s="30" t="str">
        <f>VLOOKUP(C107,Guests!$A$2:$E$189,4,0)</f>
        <v>Greece</v>
      </c>
      <c r="H107" s="18">
        <v>45839</v>
      </c>
      <c r="I107" s="18">
        <v>45843</v>
      </c>
      <c r="J107" s="29">
        <v>4</v>
      </c>
      <c r="K107" s="20">
        <v>40</v>
      </c>
      <c r="L107" s="20">
        <v>0</v>
      </c>
      <c r="M107" s="20">
        <f t="shared" si="2"/>
        <v>160</v>
      </c>
      <c r="N107" s="20">
        <f t="shared" si="3"/>
        <v>160</v>
      </c>
      <c r="O107" s="19" t="s">
        <v>243</v>
      </c>
      <c r="P107" s="19" t="s">
        <v>223</v>
      </c>
      <c r="Q107" s="19" t="s">
        <v>259</v>
      </c>
    </row>
    <row r="108" spans="1:17" x14ac:dyDescent="0.25">
      <c r="A108" s="19" t="s">
        <v>343</v>
      </c>
      <c r="B108" s="19" t="s">
        <v>220</v>
      </c>
      <c r="C108" s="19" t="s">
        <v>95</v>
      </c>
      <c r="D108" s="29">
        <v>1</v>
      </c>
      <c r="E108" s="29">
        <v>3</v>
      </c>
      <c r="F108" s="19" t="s">
        <v>230</v>
      </c>
      <c r="G108" s="30" t="str">
        <f>VLOOKUP(C108,Guests!$A$2:$E$189,4,0)</f>
        <v>Serbia</v>
      </c>
      <c r="H108" s="18">
        <v>45901</v>
      </c>
      <c r="I108" s="18">
        <v>45910</v>
      </c>
      <c r="J108" s="29">
        <v>9</v>
      </c>
      <c r="K108" s="20">
        <v>37</v>
      </c>
      <c r="L108" s="20">
        <v>50</v>
      </c>
      <c r="M108" s="20">
        <f t="shared" si="2"/>
        <v>283</v>
      </c>
      <c r="N108" s="20">
        <f t="shared" si="3"/>
        <v>333</v>
      </c>
      <c r="O108" s="19" t="s">
        <v>344</v>
      </c>
      <c r="P108" s="19" t="s">
        <v>227</v>
      </c>
      <c r="Q108" s="19" t="s">
        <v>228</v>
      </c>
    </row>
    <row r="109" spans="1:17" x14ac:dyDescent="0.25">
      <c r="A109" s="19" t="s">
        <v>345</v>
      </c>
      <c r="B109" s="19" t="s">
        <v>220</v>
      </c>
      <c r="C109" s="19" t="s">
        <v>96</v>
      </c>
      <c r="D109" s="29">
        <v>102</v>
      </c>
      <c r="E109" s="29">
        <v>2</v>
      </c>
      <c r="F109" s="19" t="s">
        <v>226</v>
      </c>
      <c r="G109" s="30" t="str">
        <f>VLOOKUP(C109,Guests!$A$2:$E$189,4,0)</f>
        <v>MKD</v>
      </c>
      <c r="H109" s="18">
        <v>45855</v>
      </c>
      <c r="I109" s="18">
        <v>45860</v>
      </c>
      <c r="J109" s="29">
        <v>5</v>
      </c>
      <c r="K109" s="20">
        <v>42</v>
      </c>
      <c r="L109" s="20">
        <v>40</v>
      </c>
      <c r="M109" s="20">
        <f t="shared" si="2"/>
        <v>170</v>
      </c>
      <c r="N109" s="20">
        <f t="shared" si="3"/>
        <v>210</v>
      </c>
      <c r="O109" s="19" t="s">
        <v>243</v>
      </c>
      <c r="P109" s="19" t="s">
        <v>299</v>
      </c>
      <c r="Q109" s="19" t="s">
        <v>228</v>
      </c>
    </row>
    <row r="110" spans="1:17" x14ac:dyDescent="0.25">
      <c r="A110" s="19" t="s">
        <v>346</v>
      </c>
      <c r="B110" s="19" t="s">
        <v>220</v>
      </c>
      <c r="C110" s="19" t="s">
        <v>97</v>
      </c>
      <c r="D110" s="29">
        <v>7</v>
      </c>
      <c r="E110" s="29">
        <v>2</v>
      </c>
      <c r="F110" s="19" t="s">
        <v>226</v>
      </c>
      <c r="G110" s="30" t="str">
        <f>VLOOKUP(C110,Guests!$A$2:$E$189,4,0)</f>
        <v>Serbia</v>
      </c>
      <c r="H110" s="18">
        <v>45836</v>
      </c>
      <c r="I110" s="18">
        <v>45838</v>
      </c>
      <c r="J110" s="29">
        <v>2</v>
      </c>
      <c r="K110" s="20">
        <v>40</v>
      </c>
      <c r="L110" s="20">
        <v>0</v>
      </c>
      <c r="M110" s="20">
        <f t="shared" si="2"/>
        <v>80</v>
      </c>
      <c r="N110" s="20">
        <f t="shared" si="3"/>
        <v>80</v>
      </c>
      <c r="O110" s="19" t="s">
        <v>222</v>
      </c>
      <c r="P110" s="19" t="s">
        <v>296</v>
      </c>
      <c r="Q110" s="19" t="s">
        <v>228</v>
      </c>
    </row>
    <row r="111" spans="1:17" x14ac:dyDescent="0.25">
      <c r="A111" s="19" t="s">
        <v>347</v>
      </c>
      <c r="B111" s="19" t="s">
        <v>220</v>
      </c>
      <c r="C111" s="19" t="s">
        <v>98</v>
      </c>
      <c r="D111" s="29">
        <v>105</v>
      </c>
      <c r="E111" s="29">
        <v>4</v>
      </c>
      <c r="F111" s="19" t="s">
        <v>230</v>
      </c>
      <c r="G111" s="30" t="str">
        <f>VLOOKUP(C111,Guests!$A$2:$E$189,4,0)</f>
        <v>Greece</v>
      </c>
      <c r="H111" s="18">
        <v>45836</v>
      </c>
      <c r="I111" s="18">
        <v>45837</v>
      </c>
      <c r="J111" s="29">
        <v>1</v>
      </c>
      <c r="K111" s="20">
        <v>50</v>
      </c>
      <c r="L111" s="20">
        <v>0</v>
      </c>
      <c r="M111" s="20">
        <f t="shared" si="2"/>
        <v>50</v>
      </c>
      <c r="N111" s="20">
        <f t="shared" si="3"/>
        <v>50</v>
      </c>
      <c r="O111" s="19" t="s">
        <v>222</v>
      </c>
      <c r="P111" s="19" t="s">
        <v>223</v>
      </c>
      <c r="Q111" s="19" t="s">
        <v>228</v>
      </c>
    </row>
    <row r="112" spans="1:17" x14ac:dyDescent="0.25">
      <c r="A112" s="19" t="s">
        <v>348</v>
      </c>
      <c r="B112" s="19" t="s">
        <v>220</v>
      </c>
      <c r="C112" s="19" t="s">
        <v>58</v>
      </c>
      <c r="D112" s="29">
        <v>101</v>
      </c>
      <c r="E112" s="29">
        <v>3</v>
      </c>
      <c r="F112" s="19" t="s">
        <v>230</v>
      </c>
      <c r="G112" s="30" t="str">
        <f>VLOOKUP(C112,Guests!$A$2:$E$189,4,0)</f>
        <v>MKD</v>
      </c>
      <c r="H112" s="18">
        <v>45843</v>
      </c>
      <c r="I112" s="18">
        <v>45851</v>
      </c>
      <c r="J112" s="29">
        <v>8</v>
      </c>
      <c r="K112" s="20">
        <v>47</v>
      </c>
      <c r="L112" s="20">
        <v>0</v>
      </c>
      <c r="M112" s="20">
        <f t="shared" si="2"/>
        <v>376</v>
      </c>
      <c r="N112" s="20">
        <f t="shared" si="3"/>
        <v>376</v>
      </c>
      <c r="O112" s="19" t="s">
        <v>243</v>
      </c>
      <c r="P112" s="19" t="s">
        <v>246</v>
      </c>
      <c r="Q112" s="19" t="s">
        <v>228</v>
      </c>
    </row>
    <row r="113" spans="1:17" x14ac:dyDescent="0.25">
      <c r="A113" s="19" t="s">
        <v>349</v>
      </c>
      <c r="B113" s="19" t="s">
        <v>220</v>
      </c>
      <c r="C113" s="19" t="s">
        <v>99</v>
      </c>
      <c r="D113" s="29">
        <v>105</v>
      </c>
      <c r="E113" s="29">
        <v>2</v>
      </c>
      <c r="F113" s="19" t="s">
        <v>226</v>
      </c>
      <c r="G113" s="30" t="str">
        <f>VLOOKUP(C113,Guests!$A$2:$E$189,4,0)</f>
        <v>MKD</v>
      </c>
      <c r="H113" s="18">
        <v>45838</v>
      </c>
      <c r="I113" s="18">
        <v>45844</v>
      </c>
      <c r="J113" s="29">
        <v>6</v>
      </c>
      <c r="K113" s="20">
        <v>40</v>
      </c>
      <c r="L113" s="20">
        <v>0</v>
      </c>
      <c r="M113" s="20">
        <f t="shared" si="2"/>
        <v>240</v>
      </c>
      <c r="N113" s="20">
        <f t="shared" si="3"/>
        <v>240</v>
      </c>
      <c r="O113" s="19" t="s">
        <v>222</v>
      </c>
      <c r="P113" s="19" t="s">
        <v>296</v>
      </c>
      <c r="Q113" s="19" t="s">
        <v>228</v>
      </c>
    </row>
    <row r="114" spans="1:17" x14ac:dyDescent="0.25">
      <c r="A114" s="19" t="s">
        <v>350</v>
      </c>
      <c r="B114" s="19" t="s">
        <v>220</v>
      </c>
      <c r="C114" s="19" t="s">
        <v>100</v>
      </c>
      <c r="D114" s="29">
        <v>2</v>
      </c>
      <c r="E114" s="29">
        <v>2</v>
      </c>
      <c r="F114" s="19" t="s">
        <v>226</v>
      </c>
      <c r="G114" s="30" t="str">
        <f>VLOOKUP(C114,Guests!$A$2:$E$189,4,0)</f>
        <v>Serbia</v>
      </c>
      <c r="H114" s="18">
        <v>45838</v>
      </c>
      <c r="I114" s="18">
        <v>45847</v>
      </c>
      <c r="J114" s="29">
        <v>9</v>
      </c>
      <c r="K114" s="20">
        <v>40</v>
      </c>
      <c r="L114" s="20">
        <v>0</v>
      </c>
      <c r="M114" s="20">
        <f t="shared" si="2"/>
        <v>360</v>
      </c>
      <c r="N114" s="20">
        <f t="shared" si="3"/>
        <v>360</v>
      </c>
      <c r="O114" s="19" t="s">
        <v>222</v>
      </c>
      <c r="P114" s="19" t="s">
        <v>296</v>
      </c>
      <c r="Q114" s="19" t="s">
        <v>228</v>
      </c>
    </row>
    <row r="115" spans="1:17" x14ac:dyDescent="0.25">
      <c r="A115" s="19" t="s">
        <v>351</v>
      </c>
      <c r="B115" s="19" t="s">
        <v>220</v>
      </c>
      <c r="C115" s="19" t="s">
        <v>141</v>
      </c>
      <c r="D115" s="29">
        <v>101</v>
      </c>
      <c r="E115" s="29">
        <v>2</v>
      </c>
      <c r="F115" s="19" t="s">
        <v>226</v>
      </c>
      <c r="G115" s="30" t="str">
        <f>VLOOKUP(C115,Guests!$A$2:$E$189,4,0)</f>
        <v>Serbia</v>
      </c>
      <c r="H115" s="18">
        <v>45871</v>
      </c>
      <c r="I115" s="18">
        <v>45878</v>
      </c>
      <c r="J115" s="29">
        <v>7</v>
      </c>
      <c r="K115" s="20">
        <v>47</v>
      </c>
      <c r="L115" s="20">
        <v>0</v>
      </c>
      <c r="M115" s="20">
        <f t="shared" si="2"/>
        <v>329</v>
      </c>
      <c r="N115" s="20">
        <f t="shared" si="3"/>
        <v>329</v>
      </c>
      <c r="O115" s="19" t="s">
        <v>261</v>
      </c>
      <c r="P115" s="19" t="s">
        <v>235</v>
      </c>
      <c r="Q115" s="19" t="s">
        <v>228</v>
      </c>
    </row>
    <row r="116" spans="1:17" x14ac:dyDescent="0.25">
      <c r="A116" s="19" t="s">
        <v>352</v>
      </c>
      <c r="B116" s="19" t="s">
        <v>220</v>
      </c>
      <c r="C116" s="19" t="s">
        <v>24</v>
      </c>
      <c r="D116" s="29">
        <v>105</v>
      </c>
      <c r="E116" s="29">
        <v>3</v>
      </c>
      <c r="F116" s="19" t="s">
        <v>230</v>
      </c>
      <c r="G116" s="30" t="str">
        <f>VLOOKUP(C116,Guests!$A$2:$E$189,4,0)</f>
        <v>MKD</v>
      </c>
      <c r="H116" s="18">
        <v>45844</v>
      </c>
      <c r="I116" s="18">
        <v>45847</v>
      </c>
      <c r="J116" s="29">
        <v>3</v>
      </c>
      <c r="K116" s="20">
        <v>45</v>
      </c>
      <c r="L116" s="20">
        <v>0</v>
      </c>
      <c r="M116" s="20">
        <f t="shared" si="2"/>
        <v>135</v>
      </c>
      <c r="N116" s="20">
        <f t="shared" si="3"/>
        <v>135</v>
      </c>
      <c r="O116" s="19" t="s">
        <v>243</v>
      </c>
      <c r="P116" s="19" t="s">
        <v>299</v>
      </c>
      <c r="Q116" s="19" t="s">
        <v>228</v>
      </c>
    </row>
    <row r="117" spans="1:17" x14ac:dyDescent="0.25">
      <c r="A117" s="19" t="s">
        <v>353</v>
      </c>
      <c r="B117" s="19" t="s">
        <v>220</v>
      </c>
      <c r="C117" s="19" t="s">
        <v>103</v>
      </c>
      <c r="D117" s="29">
        <v>5</v>
      </c>
      <c r="E117" s="29">
        <v>4</v>
      </c>
      <c r="F117" s="19" t="s">
        <v>230</v>
      </c>
      <c r="G117" s="30" t="str">
        <f>VLOOKUP(C117,Guests!$A$2:$E$189,4,0)</f>
        <v>Serbia</v>
      </c>
      <c r="H117" s="18">
        <v>45873</v>
      </c>
      <c r="I117" s="18">
        <v>45883</v>
      </c>
      <c r="J117" s="29">
        <v>10</v>
      </c>
      <c r="K117" s="20">
        <v>62</v>
      </c>
      <c r="L117" s="20">
        <v>0</v>
      </c>
      <c r="M117" s="20">
        <f t="shared" si="2"/>
        <v>620</v>
      </c>
      <c r="N117" s="20">
        <f t="shared" si="3"/>
        <v>620</v>
      </c>
      <c r="O117" s="19" t="s">
        <v>261</v>
      </c>
      <c r="P117" s="19" t="s">
        <v>246</v>
      </c>
      <c r="Q117" s="19" t="s">
        <v>259</v>
      </c>
    </row>
    <row r="118" spans="1:17" x14ac:dyDescent="0.25">
      <c r="A118" s="19" t="s">
        <v>354</v>
      </c>
      <c r="B118" s="19" t="s">
        <v>220</v>
      </c>
      <c r="C118" s="19" t="s">
        <v>104</v>
      </c>
      <c r="D118" s="29">
        <v>1</v>
      </c>
      <c r="E118" s="29">
        <v>4</v>
      </c>
      <c r="F118" s="19" t="s">
        <v>230</v>
      </c>
      <c r="G118" s="30" t="str">
        <f>VLOOKUP(C118,Guests!$A$2:$E$189,4,0)</f>
        <v>Serbia</v>
      </c>
      <c r="H118" s="18">
        <v>45866</v>
      </c>
      <c r="I118" s="18">
        <v>45876</v>
      </c>
      <c r="J118" s="29">
        <v>10</v>
      </c>
      <c r="K118" s="20">
        <v>52</v>
      </c>
      <c r="L118" s="20">
        <v>50</v>
      </c>
      <c r="M118" s="20">
        <f t="shared" si="2"/>
        <v>470</v>
      </c>
      <c r="N118" s="20">
        <f t="shared" si="3"/>
        <v>520</v>
      </c>
      <c r="O118" s="19" t="s">
        <v>243</v>
      </c>
      <c r="P118" s="19" t="s">
        <v>246</v>
      </c>
      <c r="Q118" s="19" t="s">
        <v>259</v>
      </c>
    </row>
    <row r="119" spans="1:17" x14ac:dyDescent="0.25">
      <c r="A119" s="19" t="s">
        <v>355</v>
      </c>
      <c r="B119" s="19" t="s">
        <v>220</v>
      </c>
      <c r="C119" s="19" t="s">
        <v>105</v>
      </c>
      <c r="D119" s="29">
        <v>107</v>
      </c>
      <c r="E119" s="29">
        <v>4</v>
      </c>
      <c r="F119" s="19" t="s">
        <v>230</v>
      </c>
      <c r="G119" s="30" t="str">
        <f>VLOOKUP(C119,Guests!$A$2:$E$189,4,0)</f>
        <v>Serbia</v>
      </c>
      <c r="H119" s="18">
        <v>45866</v>
      </c>
      <c r="I119" s="18">
        <v>45876</v>
      </c>
      <c r="J119" s="29">
        <v>10</v>
      </c>
      <c r="K119" s="20">
        <v>52</v>
      </c>
      <c r="L119" s="20">
        <v>50</v>
      </c>
      <c r="M119" s="20">
        <f t="shared" si="2"/>
        <v>470</v>
      </c>
      <c r="N119" s="20">
        <f t="shared" si="3"/>
        <v>520</v>
      </c>
      <c r="O119" s="19" t="s">
        <v>243</v>
      </c>
      <c r="P119" s="19" t="s">
        <v>246</v>
      </c>
      <c r="Q119" s="19" t="s">
        <v>259</v>
      </c>
    </row>
    <row r="120" spans="1:17" x14ac:dyDescent="0.25">
      <c r="A120" s="19" t="s">
        <v>356</v>
      </c>
      <c r="B120" s="19" t="s">
        <v>309</v>
      </c>
      <c r="C120" s="19" t="s">
        <v>106</v>
      </c>
      <c r="D120" s="29">
        <v>1</v>
      </c>
      <c r="E120" s="29">
        <v>4</v>
      </c>
      <c r="F120" s="19" t="s">
        <v>230</v>
      </c>
      <c r="G120" s="30" t="str">
        <f>VLOOKUP(C120,Guests!$A$2:$E$189,4,0)</f>
        <v>Greece</v>
      </c>
      <c r="H120" s="18">
        <v>45831</v>
      </c>
      <c r="I120" s="18">
        <v>45837</v>
      </c>
      <c r="J120" s="29">
        <v>6</v>
      </c>
      <c r="K120" s="20">
        <v>45</v>
      </c>
      <c r="L120" s="20">
        <v>0</v>
      </c>
      <c r="M120" s="20">
        <f t="shared" si="2"/>
        <v>270</v>
      </c>
      <c r="N120" s="20">
        <f t="shared" si="3"/>
        <v>270</v>
      </c>
      <c r="O120" s="19" t="s">
        <v>222</v>
      </c>
      <c r="P120" s="19" t="s">
        <v>223</v>
      </c>
      <c r="Q120" s="19" t="s">
        <v>228</v>
      </c>
    </row>
    <row r="121" spans="1:17" x14ac:dyDescent="0.25">
      <c r="A121" s="19" t="s">
        <v>357</v>
      </c>
      <c r="B121" s="19" t="s">
        <v>220</v>
      </c>
      <c r="C121" s="19" t="s">
        <v>107</v>
      </c>
      <c r="D121" s="29">
        <v>104</v>
      </c>
      <c r="E121" s="29">
        <v>2</v>
      </c>
      <c r="F121" s="19" t="s">
        <v>226</v>
      </c>
      <c r="G121" s="30" t="str">
        <f>VLOOKUP(C121,Guests!$A$2:$E$189,4,0)</f>
        <v>Serbia</v>
      </c>
      <c r="H121" s="18">
        <v>45858</v>
      </c>
      <c r="I121" s="18">
        <v>45866</v>
      </c>
      <c r="J121" s="29">
        <v>8</v>
      </c>
      <c r="K121" s="20">
        <v>47</v>
      </c>
      <c r="L121" s="20">
        <v>45</v>
      </c>
      <c r="M121" s="20">
        <f t="shared" si="2"/>
        <v>331</v>
      </c>
      <c r="N121" s="20">
        <f t="shared" si="3"/>
        <v>376</v>
      </c>
      <c r="O121" s="19" t="s">
        <v>243</v>
      </c>
      <c r="P121" s="19" t="s">
        <v>227</v>
      </c>
      <c r="Q121" s="19" t="s">
        <v>228</v>
      </c>
    </row>
    <row r="122" spans="1:17" x14ac:dyDescent="0.25">
      <c r="A122" s="19" t="s">
        <v>358</v>
      </c>
      <c r="B122" s="19" t="s">
        <v>220</v>
      </c>
      <c r="C122" s="19" t="s">
        <v>108</v>
      </c>
      <c r="D122" s="29">
        <v>108</v>
      </c>
      <c r="E122" s="29">
        <v>2</v>
      </c>
      <c r="F122" s="19" t="s">
        <v>226</v>
      </c>
      <c r="G122" s="30" t="str">
        <f>VLOOKUP(C122,Guests!$A$2:$E$189,4,0)</f>
        <v>Serbia</v>
      </c>
      <c r="H122" s="18">
        <v>45858</v>
      </c>
      <c r="I122" s="18">
        <v>45866</v>
      </c>
      <c r="J122" s="29">
        <v>8</v>
      </c>
      <c r="K122" s="20">
        <v>47</v>
      </c>
      <c r="L122" s="20">
        <v>45</v>
      </c>
      <c r="M122" s="20">
        <f t="shared" si="2"/>
        <v>331</v>
      </c>
      <c r="N122" s="20">
        <f t="shared" si="3"/>
        <v>376</v>
      </c>
      <c r="O122" s="19" t="s">
        <v>243</v>
      </c>
      <c r="P122" s="19" t="s">
        <v>227</v>
      </c>
      <c r="Q122" s="19" t="s">
        <v>228</v>
      </c>
    </row>
    <row r="123" spans="1:17" x14ac:dyDescent="0.25">
      <c r="A123" s="19" t="s">
        <v>359</v>
      </c>
      <c r="B123" s="19" t="s">
        <v>220</v>
      </c>
      <c r="C123" s="19" t="s">
        <v>109</v>
      </c>
      <c r="D123" s="29">
        <v>4</v>
      </c>
      <c r="E123" s="29">
        <v>4</v>
      </c>
      <c r="F123" s="19" t="s">
        <v>230</v>
      </c>
      <c r="G123" s="30" t="str">
        <f>VLOOKUP(C123,Guests!$A$2:$E$189,4,0)</f>
        <v>Serbia</v>
      </c>
      <c r="H123" s="18">
        <v>45862</v>
      </c>
      <c r="I123" s="18">
        <v>45871</v>
      </c>
      <c r="J123" s="29">
        <v>9</v>
      </c>
      <c r="K123" s="20">
        <v>57</v>
      </c>
      <c r="L123" s="20">
        <v>55</v>
      </c>
      <c r="M123" s="20">
        <f t="shared" si="2"/>
        <v>458</v>
      </c>
      <c r="N123" s="20">
        <f t="shared" si="3"/>
        <v>513</v>
      </c>
      <c r="O123" s="19" t="s">
        <v>243</v>
      </c>
      <c r="P123" s="19" t="s">
        <v>246</v>
      </c>
      <c r="Q123" s="19" t="s">
        <v>259</v>
      </c>
    </row>
    <row r="124" spans="1:17" x14ac:dyDescent="0.25">
      <c r="A124" s="19" t="s">
        <v>360</v>
      </c>
      <c r="B124" s="19" t="s">
        <v>220</v>
      </c>
      <c r="C124" s="19" t="s">
        <v>110</v>
      </c>
      <c r="D124" s="29">
        <v>8</v>
      </c>
      <c r="E124" s="29">
        <v>3</v>
      </c>
      <c r="F124" s="19" t="s">
        <v>230</v>
      </c>
      <c r="G124" s="30" t="str">
        <f>VLOOKUP(C124,Guests!$A$2:$E$189,4,0)</f>
        <v>MKD</v>
      </c>
      <c r="H124" s="18">
        <v>45865</v>
      </c>
      <c r="I124" s="18">
        <v>45872</v>
      </c>
      <c r="J124" s="29">
        <v>7</v>
      </c>
      <c r="K124" s="20">
        <v>45</v>
      </c>
      <c r="L124" s="20">
        <v>0</v>
      </c>
      <c r="M124" s="20">
        <f t="shared" si="2"/>
        <v>315</v>
      </c>
      <c r="N124" s="20">
        <f t="shared" si="3"/>
        <v>315</v>
      </c>
      <c r="O124" s="19" t="s">
        <v>243</v>
      </c>
      <c r="P124" s="19" t="s">
        <v>299</v>
      </c>
      <c r="Q124" s="19" t="s">
        <v>228</v>
      </c>
    </row>
    <row r="125" spans="1:17" x14ac:dyDescent="0.25">
      <c r="A125" s="19" t="s">
        <v>361</v>
      </c>
      <c r="B125" s="19" t="s">
        <v>220</v>
      </c>
      <c r="C125" s="19" t="s">
        <v>111</v>
      </c>
      <c r="D125" s="29">
        <v>104</v>
      </c>
      <c r="E125" s="29">
        <v>1</v>
      </c>
      <c r="F125" s="19" t="s">
        <v>221</v>
      </c>
      <c r="G125" s="30" t="str">
        <f>VLOOKUP(C125,Guests!$A$2:$E$189,4,0)</f>
        <v>Serbia</v>
      </c>
      <c r="H125" s="18">
        <v>45877</v>
      </c>
      <c r="I125" s="18">
        <v>45886</v>
      </c>
      <c r="J125" s="29">
        <v>9</v>
      </c>
      <c r="K125" s="20">
        <v>47</v>
      </c>
      <c r="L125" s="20">
        <v>45</v>
      </c>
      <c r="M125" s="20">
        <f t="shared" si="2"/>
        <v>378</v>
      </c>
      <c r="N125" s="20">
        <f t="shared" si="3"/>
        <v>423</v>
      </c>
      <c r="O125" s="19" t="s">
        <v>261</v>
      </c>
      <c r="P125" s="19" t="s">
        <v>246</v>
      </c>
      <c r="Q125" s="19" t="s">
        <v>228</v>
      </c>
    </row>
    <row r="126" spans="1:17" x14ac:dyDescent="0.25">
      <c r="A126" s="19" t="s">
        <v>362</v>
      </c>
      <c r="B126" s="19" t="s">
        <v>220</v>
      </c>
      <c r="C126" s="19" t="s">
        <v>112</v>
      </c>
      <c r="D126" s="29">
        <v>8</v>
      </c>
      <c r="E126" s="29">
        <v>3</v>
      </c>
      <c r="F126" s="19" t="s">
        <v>230</v>
      </c>
      <c r="G126" s="30" t="str">
        <f>VLOOKUP(C126,Guests!$A$2:$E$189,4,0)</f>
        <v>MKD</v>
      </c>
      <c r="H126" s="18">
        <v>45855</v>
      </c>
      <c r="I126" s="18">
        <v>45864</v>
      </c>
      <c r="J126" s="29">
        <v>9</v>
      </c>
      <c r="K126" s="20">
        <v>47</v>
      </c>
      <c r="L126" s="20">
        <v>0</v>
      </c>
      <c r="M126" s="20">
        <f t="shared" si="2"/>
        <v>423</v>
      </c>
      <c r="N126" s="20">
        <f t="shared" si="3"/>
        <v>423</v>
      </c>
      <c r="O126" s="19" t="s">
        <v>243</v>
      </c>
      <c r="P126" s="19" t="s">
        <v>227</v>
      </c>
      <c r="Q126" s="19" t="s">
        <v>228</v>
      </c>
    </row>
    <row r="127" spans="1:17" x14ac:dyDescent="0.25">
      <c r="A127" s="19" t="s">
        <v>363</v>
      </c>
      <c r="B127" s="19" t="s">
        <v>220</v>
      </c>
      <c r="C127" s="19" t="s">
        <v>113</v>
      </c>
      <c r="D127" s="29">
        <v>5</v>
      </c>
      <c r="E127" s="29">
        <v>4</v>
      </c>
      <c r="F127" s="19" t="s">
        <v>230</v>
      </c>
      <c r="G127" s="30" t="str">
        <f>VLOOKUP(C127,Guests!$A$2:$E$189,4,0)</f>
        <v>Serbia</v>
      </c>
      <c r="H127" s="18">
        <v>45862</v>
      </c>
      <c r="I127" s="18">
        <v>45867</v>
      </c>
      <c r="J127" s="29">
        <v>5</v>
      </c>
      <c r="K127" s="20">
        <v>60</v>
      </c>
      <c r="L127" s="20">
        <v>0</v>
      </c>
      <c r="M127" s="20">
        <f t="shared" si="2"/>
        <v>300</v>
      </c>
      <c r="N127" s="20">
        <f t="shared" si="3"/>
        <v>300</v>
      </c>
      <c r="O127" s="19" t="s">
        <v>243</v>
      </c>
      <c r="P127" s="19" t="s">
        <v>227</v>
      </c>
      <c r="Q127" s="19" t="s">
        <v>228</v>
      </c>
    </row>
    <row r="128" spans="1:17" x14ac:dyDescent="0.25">
      <c r="A128" s="19" t="s">
        <v>364</v>
      </c>
      <c r="B128" s="19" t="s">
        <v>220</v>
      </c>
      <c r="C128" s="19" t="s">
        <v>114</v>
      </c>
      <c r="D128" s="29">
        <v>8</v>
      </c>
      <c r="E128" s="29">
        <v>3</v>
      </c>
      <c r="F128" s="19" t="s">
        <v>230</v>
      </c>
      <c r="G128" s="30" t="str">
        <f>VLOOKUP(C128,Guests!$A$2:$E$189,4,0)</f>
        <v>Serbia</v>
      </c>
      <c r="H128" s="18">
        <v>45848</v>
      </c>
      <c r="I128" s="18">
        <v>45855</v>
      </c>
      <c r="J128" s="29">
        <v>7</v>
      </c>
      <c r="K128" s="20">
        <v>45</v>
      </c>
      <c r="L128" s="20">
        <v>0</v>
      </c>
      <c r="M128" s="20">
        <f t="shared" si="2"/>
        <v>315</v>
      </c>
      <c r="N128" s="20">
        <f t="shared" si="3"/>
        <v>315</v>
      </c>
      <c r="O128" s="19" t="s">
        <v>243</v>
      </c>
      <c r="P128" s="19" t="s">
        <v>296</v>
      </c>
      <c r="Q128" s="19" t="s">
        <v>228</v>
      </c>
    </row>
    <row r="129" spans="1:17" x14ac:dyDescent="0.25">
      <c r="A129" s="19" t="s">
        <v>365</v>
      </c>
      <c r="B129" s="19" t="s">
        <v>220</v>
      </c>
      <c r="C129" s="19" t="s">
        <v>115</v>
      </c>
      <c r="D129" s="29">
        <v>104</v>
      </c>
      <c r="E129" s="29">
        <v>2</v>
      </c>
      <c r="F129" s="19" t="s">
        <v>226</v>
      </c>
      <c r="G129" s="30" t="str">
        <f>VLOOKUP(C129,Guests!$A$2:$E$189,4,0)</f>
        <v>Greece</v>
      </c>
      <c r="H129" s="18">
        <v>45857</v>
      </c>
      <c r="I129" s="18">
        <v>45858</v>
      </c>
      <c r="J129" s="29">
        <v>1</v>
      </c>
      <c r="K129" s="20">
        <v>50</v>
      </c>
      <c r="L129" s="20">
        <v>0</v>
      </c>
      <c r="M129" s="20">
        <f t="shared" si="2"/>
        <v>50</v>
      </c>
      <c r="N129" s="20">
        <f t="shared" si="3"/>
        <v>50</v>
      </c>
      <c r="O129" s="19" t="s">
        <v>243</v>
      </c>
      <c r="P129" s="19" t="s">
        <v>227</v>
      </c>
      <c r="Q129" s="19" t="s">
        <v>228</v>
      </c>
    </row>
    <row r="130" spans="1:17" x14ac:dyDescent="0.25">
      <c r="A130" s="19" t="s">
        <v>366</v>
      </c>
      <c r="B130" s="19" t="s">
        <v>220</v>
      </c>
      <c r="C130" s="19" t="s">
        <v>116</v>
      </c>
      <c r="D130" s="29">
        <v>2</v>
      </c>
      <c r="E130" s="29">
        <v>2</v>
      </c>
      <c r="F130" s="19" t="s">
        <v>226</v>
      </c>
      <c r="G130" s="30" t="str">
        <f>VLOOKUP(C130,Guests!$A$2:$E$189,4,0)</f>
        <v>Serbia</v>
      </c>
      <c r="H130" s="18">
        <v>45849</v>
      </c>
      <c r="I130" s="18">
        <v>45857</v>
      </c>
      <c r="J130" s="29">
        <v>8</v>
      </c>
      <c r="K130" s="20">
        <v>40</v>
      </c>
      <c r="L130" s="20">
        <v>0</v>
      </c>
      <c r="M130" s="20">
        <f t="shared" ref="M130:M193" si="4">N130-L130</f>
        <v>320</v>
      </c>
      <c r="N130" s="20">
        <f t="shared" ref="N130:N193" si="5">J130*K130</f>
        <v>320</v>
      </c>
      <c r="O130" s="19" t="s">
        <v>243</v>
      </c>
      <c r="P130" s="19" t="s">
        <v>296</v>
      </c>
      <c r="Q130" s="19" t="s">
        <v>228</v>
      </c>
    </row>
    <row r="131" spans="1:17" x14ac:dyDescent="0.25">
      <c r="A131" s="19" t="s">
        <v>367</v>
      </c>
      <c r="B131" s="19" t="s">
        <v>220</v>
      </c>
      <c r="C131" s="19" t="s">
        <v>117</v>
      </c>
      <c r="D131" s="29">
        <v>102</v>
      </c>
      <c r="E131" s="29">
        <v>2</v>
      </c>
      <c r="F131" s="19" t="s">
        <v>226</v>
      </c>
      <c r="G131" s="30" t="str">
        <f>VLOOKUP(C131,Guests!$A$2:$E$189,4,0)</f>
        <v>MKD</v>
      </c>
      <c r="H131" s="18">
        <v>45880</v>
      </c>
      <c r="I131" s="18">
        <v>45887</v>
      </c>
      <c r="J131" s="29">
        <v>7</v>
      </c>
      <c r="K131" s="20">
        <v>47</v>
      </c>
      <c r="L131" s="20">
        <v>0</v>
      </c>
      <c r="M131" s="20">
        <f t="shared" si="4"/>
        <v>329</v>
      </c>
      <c r="N131" s="20">
        <f t="shared" si="5"/>
        <v>329</v>
      </c>
      <c r="O131" s="19" t="s">
        <v>261</v>
      </c>
      <c r="P131" s="19" t="s">
        <v>227</v>
      </c>
      <c r="Q131" s="19" t="s">
        <v>228</v>
      </c>
    </row>
    <row r="132" spans="1:17" x14ac:dyDescent="0.25">
      <c r="A132" s="19" t="s">
        <v>368</v>
      </c>
      <c r="B132" s="19" t="s">
        <v>220</v>
      </c>
      <c r="C132" s="19" t="s">
        <v>93</v>
      </c>
      <c r="D132" s="29">
        <v>104</v>
      </c>
      <c r="E132" s="29">
        <v>2</v>
      </c>
      <c r="F132" s="19" t="s">
        <v>226</v>
      </c>
      <c r="G132" s="30" t="str">
        <f>VLOOKUP(C132,Guests!$A$2:$E$189,4,0)</f>
        <v>Greece</v>
      </c>
      <c r="H132" s="18">
        <v>45850</v>
      </c>
      <c r="I132" s="18">
        <v>45851</v>
      </c>
      <c r="J132" s="29">
        <v>1</v>
      </c>
      <c r="K132" s="20">
        <v>45</v>
      </c>
      <c r="L132" s="20">
        <v>0</v>
      </c>
      <c r="M132" s="20">
        <f t="shared" si="4"/>
        <v>45</v>
      </c>
      <c r="N132" s="20">
        <f t="shared" si="5"/>
        <v>45</v>
      </c>
      <c r="O132" s="19" t="s">
        <v>243</v>
      </c>
      <c r="P132" s="19" t="s">
        <v>223</v>
      </c>
      <c r="Q132" s="19" t="s">
        <v>228</v>
      </c>
    </row>
    <row r="133" spans="1:17" x14ac:dyDescent="0.25">
      <c r="A133" s="19" t="s">
        <v>369</v>
      </c>
      <c r="B133" s="19" t="s">
        <v>220</v>
      </c>
      <c r="C133" s="19" t="s">
        <v>118</v>
      </c>
      <c r="D133" s="29">
        <v>106</v>
      </c>
      <c r="E133" s="29">
        <v>2</v>
      </c>
      <c r="F133" s="19" t="s">
        <v>226</v>
      </c>
      <c r="G133" s="30" t="str">
        <f>VLOOKUP(C133,Guests!$A$2:$E$189,4,0)</f>
        <v>Greece</v>
      </c>
      <c r="H133" s="18">
        <v>45851</v>
      </c>
      <c r="I133" s="18">
        <v>45853</v>
      </c>
      <c r="J133" s="29">
        <v>2</v>
      </c>
      <c r="K133" s="20">
        <v>45</v>
      </c>
      <c r="L133" s="20">
        <v>0</v>
      </c>
      <c r="M133" s="20">
        <f t="shared" si="4"/>
        <v>90</v>
      </c>
      <c r="N133" s="20">
        <f t="shared" si="5"/>
        <v>90</v>
      </c>
      <c r="O133" s="19" t="s">
        <v>243</v>
      </c>
      <c r="P133" s="19" t="s">
        <v>223</v>
      </c>
      <c r="Q133" s="19" t="s">
        <v>228</v>
      </c>
    </row>
    <row r="134" spans="1:17" x14ac:dyDescent="0.25">
      <c r="A134" s="19" t="s">
        <v>370</v>
      </c>
      <c r="B134" s="19" t="s">
        <v>220</v>
      </c>
      <c r="C134" s="19" t="s">
        <v>19</v>
      </c>
      <c r="D134" s="29">
        <v>6</v>
      </c>
      <c r="E134" s="29">
        <v>1</v>
      </c>
      <c r="F134" s="19" t="s">
        <v>221</v>
      </c>
      <c r="G134" s="30" t="str">
        <f>VLOOKUP(C134,Guests!$A$2:$E$189,4,0)</f>
        <v>MKD</v>
      </c>
      <c r="H134" s="18">
        <v>45854</v>
      </c>
      <c r="I134" s="18">
        <v>45859</v>
      </c>
      <c r="J134" s="29">
        <v>5</v>
      </c>
      <c r="K134" s="20">
        <v>35</v>
      </c>
      <c r="L134" s="20">
        <v>0</v>
      </c>
      <c r="M134" s="20">
        <f t="shared" si="4"/>
        <v>175</v>
      </c>
      <c r="N134" s="20">
        <f t="shared" si="5"/>
        <v>175</v>
      </c>
      <c r="O134" s="19" t="s">
        <v>243</v>
      </c>
      <c r="P134" s="19" t="s">
        <v>227</v>
      </c>
      <c r="Q134" s="19" t="s">
        <v>228</v>
      </c>
    </row>
    <row r="135" spans="1:17" x14ac:dyDescent="0.25">
      <c r="A135" s="19" t="s">
        <v>371</v>
      </c>
      <c r="B135" s="19" t="s">
        <v>220</v>
      </c>
      <c r="C135" s="19" t="s">
        <v>120</v>
      </c>
      <c r="D135" s="29">
        <v>7</v>
      </c>
      <c r="E135" s="29">
        <v>3</v>
      </c>
      <c r="F135" s="19" t="s">
        <v>230</v>
      </c>
      <c r="G135" s="30" t="str">
        <f>VLOOKUP(C135,Guests!$A$2:$E$189,4,0)</f>
        <v>MKD</v>
      </c>
      <c r="H135" s="18">
        <v>45863</v>
      </c>
      <c r="I135" s="18">
        <v>45869</v>
      </c>
      <c r="J135" s="29">
        <v>6</v>
      </c>
      <c r="K135" s="20">
        <v>52</v>
      </c>
      <c r="L135" s="20">
        <v>0</v>
      </c>
      <c r="M135" s="20">
        <f t="shared" si="4"/>
        <v>312</v>
      </c>
      <c r="N135" s="20">
        <f t="shared" si="5"/>
        <v>312</v>
      </c>
      <c r="O135" s="19" t="s">
        <v>243</v>
      </c>
      <c r="P135" s="19" t="s">
        <v>227</v>
      </c>
      <c r="Q135" s="19" t="s">
        <v>259</v>
      </c>
    </row>
    <row r="136" spans="1:17" x14ac:dyDescent="0.25">
      <c r="A136" s="19" t="s">
        <v>372</v>
      </c>
      <c r="B136" s="19" t="s">
        <v>220</v>
      </c>
      <c r="C136" s="19" t="s">
        <v>121</v>
      </c>
      <c r="D136" s="29">
        <v>106</v>
      </c>
      <c r="E136" s="29">
        <v>3</v>
      </c>
      <c r="F136" s="19" t="s">
        <v>230</v>
      </c>
      <c r="G136" s="30" t="str">
        <f>VLOOKUP(C136,Guests!$A$2:$E$189,4,0)</f>
        <v>Serbia</v>
      </c>
      <c r="H136" s="18">
        <v>45873</v>
      </c>
      <c r="I136" s="18">
        <v>45880</v>
      </c>
      <c r="J136" s="29">
        <v>7</v>
      </c>
      <c r="K136" s="20">
        <v>52</v>
      </c>
      <c r="L136" s="20">
        <v>0</v>
      </c>
      <c r="M136" s="20">
        <f t="shared" si="4"/>
        <v>364</v>
      </c>
      <c r="N136" s="20">
        <f t="shared" si="5"/>
        <v>364</v>
      </c>
      <c r="O136" s="19" t="s">
        <v>261</v>
      </c>
      <c r="P136" s="19" t="s">
        <v>227</v>
      </c>
      <c r="Q136" s="19" t="s">
        <v>259</v>
      </c>
    </row>
    <row r="137" spans="1:17" x14ac:dyDescent="0.25">
      <c r="A137" s="19" t="s">
        <v>373</v>
      </c>
      <c r="B137" s="19" t="s">
        <v>220</v>
      </c>
      <c r="C137" s="19" t="s">
        <v>122</v>
      </c>
      <c r="D137" s="29">
        <v>108</v>
      </c>
      <c r="E137" s="29">
        <v>2</v>
      </c>
      <c r="F137" s="19" t="s">
        <v>226</v>
      </c>
      <c r="G137" s="30" t="str">
        <f>VLOOKUP(C137,Guests!$A$2:$E$189,4,0)</f>
        <v>MKD</v>
      </c>
      <c r="H137" s="18">
        <v>45853</v>
      </c>
      <c r="I137" s="18">
        <v>45856</v>
      </c>
      <c r="J137" s="29">
        <v>3</v>
      </c>
      <c r="K137" s="20">
        <v>45</v>
      </c>
      <c r="L137" s="20">
        <v>0</v>
      </c>
      <c r="M137" s="20">
        <f t="shared" si="4"/>
        <v>135</v>
      </c>
      <c r="N137" s="20">
        <f t="shared" si="5"/>
        <v>135</v>
      </c>
      <c r="O137" s="19" t="s">
        <v>243</v>
      </c>
      <c r="P137" s="19" t="s">
        <v>296</v>
      </c>
      <c r="Q137" s="19" t="s">
        <v>228</v>
      </c>
    </row>
    <row r="138" spans="1:17" x14ac:dyDescent="0.25">
      <c r="A138" s="19" t="s">
        <v>374</v>
      </c>
      <c r="B138" s="19" t="s">
        <v>220</v>
      </c>
      <c r="C138" s="19" t="s">
        <v>106</v>
      </c>
      <c r="D138" s="29">
        <v>105</v>
      </c>
      <c r="E138" s="29">
        <v>4</v>
      </c>
      <c r="F138" s="19" t="s">
        <v>230</v>
      </c>
      <c r="G138" s="30" t="str">
        <f>VLOOKUP(C138,Guests!$A$2:$E$189,4,0)</f>
        <v>Greece</v>
      </c>
      <c r="H138" s="18">
        <v>45877</v>
      </c>
      <c r="I138" s="18">
        <v>45880</v>
      </c>
      <c r="J138" s="29">
        <v>3</v>
      </c>
      <c r="K138" s="20">
        <v>55</v>
      </c>
      <c r="L138" s="20">
        <v>0</v>
      </c>
      <c r="M138" s="20">
        <f t="shared" si="4"/>
        <v>165</v>
      </c>
      <c r="N138" s="20">
        <f t="shared" si="5"/>
        <v>165</v>
      </c>
      <c r="O138" s="19" t="s">
        <v>261</v>
      </c>
      <c r="P138" s="19" t="s">
        <v>223</v>
      </c>
      <c r="Q138" s="19" t="s">
        <v>228</v>
      </c>
    </row>
    <row r="139" spans="1:17" x14ac:dyDescent="0.25">
      <c r="A139" s="19" t="s">
        <v>375</v>
      </c>
      <c r="B139" s="19" t="s">
        <v>220</v>
      </c>
      <c r="C139" s="19" t="s">
        <v>123</v>
      </c>
      <c r="D139" s="29">
        <v>103</v>
      </c>
      <c r="E139" s="29">
        <v>4</v>
      </c>
      <c r="F139" s="19" t="s">
        <v>230</v>
      </c>
      <c r="G139" s="30" t="str">
        <f>VLOOKUP(C139,Guests!$A$2:$E$189,4,0)</f>
        <v>Greece</v>
      </c>
      <c r="H139" s="18">
        <v>45892</v>
      </c>
      <c r="I139" s="18">
        <v>45893</v>
      </c>
      <c r="J139" s="29">
        <v>1</v>
      </c>
      <c r="K139" s="20">
        <v>57</v>
      </c>
      <c r="L139" s="20">
        <v>0</v>
      </c>
      <c r="M139" s="20">
        <f t="shared" si="4"/>
        <v>57</v>
      </c>
      <c r="N139" s="20">
        <f t="shared" si="5"/>
        <v>57</v>
      </c>
      <c r="O139" s="19" t="s">
        <v>261</v>
      </c>
      <c r="P139" s="19" t="s">
        <v>223</v>
      </c>
      <c r="Q139" s="19" t="s">
        <v>259</v>
      </c>
    </row>
    <row r="140" spans="1:17" x14ac:dyDescent="0.25">
      <c r="A140" s="19" t="s">
        <v>376</v>
      </c>
      <c r="B140" s="19" t="s">
        <v>220</v>
      </c>
      <c r="C140" s="19" t="s">
        <v>124</v>
      </c>
      <c r="D140" s="29">
        <v>107</v>
      </c>
      <c r="E140" s="29">
        <v>2</v>
      </c>
      <c r="F140" s="19" t="s">
        <v>226</v>
      </c>
      <c r="G140" s="30" t="str">
        <f>VLOOKUP(C140,Guests!$A$2:$E$189,4,0)</f>
        <v>Greece</v>
      </c>
      <c r="H140" s="18">
        <v>45856</v>
      </c>
      <c r="I140" s="18">
        <v>45859</v>
      </c>
      <c r="J140" s="29">
        <v>3</v>
      </c>
      <c r="K140" s="20">
        <v>52</v>
      </c>
      <c r="L140" s="20">
        <v>0</v>
      </c>
      <c r="M140" s="20">
        <f t="shared" si="4"/>
        <v>156</v>
      </c>
      <c r="N140" s="20">
        <f t="shared" si="5"/>
        <v>156</v>
      </c>
      <c r="O140" s="19" t="s">
        <v>243</v>
      </c>
      <c r="P140" s="19" t="s">
        <v>223</v>
      </c>
      <c r="Q140" s="19" t="s">
        <v>259</v>
      </c>
    </row>
    <row r="141" spans="1:17" x14ac:dyDescent="0.25">
      <c r="A141" s="19" t="s">
        <v>377</v>
      </c>
      <c r="B141" s="19" t="s">
        <v>220</v>
      </c>
      <c r="C141" s="19" t="s">
        <v>125</v>
      </c>
      <c r="D141" s="29">
        <v>103</v>
      </c>
      <c r="E141" s="29">
        <v>2</v>
      </c>
      <c r="F141" s="19" t="s">
        <v>226</v>
      </c>
      <c r="G141" s="30" t="str">
        <f>VLOOKUP(C141,Guests!$A$2:$E$189,4,0)</f>
        <v>Greece</v>
      </c>
      <c r="H141" s="18">
        <v>45858</v>
      </c>
      <c r="I141" s="18">
        <v>45864</v>
      </c>
      <c r="J141" s="29">
        <v>6</v>
      </c>
      <c r="K141" s="20">
        <v>47</v>
      </c>
      <c r="L141" s="20">
        <v>100</v>
      </c>
      <c r="M141" s="20">
        <f t="shared" si="4"/>
        <v>182</v>
      </c>
      <c r="N141" s="20">
        <f t="shared" si="5"/>
        <v>282</v>
      </c>
      <c r="O141" s="19" t="s">
        <v>243</v>
      </c>
      <c r="P141" s="19" t="s">
        <v>296</v>
      </c>
      <c r="Q141" s="19" t="s">
        <v>259</v>
      </c>
    </row>
    <row r="142" spans="1:17" x14ac:dyDescent="0.25">
      <c r="A142" s="19" t="s">
        <v>378</v>
      </c>
      <c r="B142" s="19" t="s">
        <v>220</v>
      </c>
      <c r="C142" s="19" t="s">
        <v>93</v>
      </c>
      <c r="D142" s="29">
        <v>2</v>
      </c>
      <c r="E142" s="29">
        <v>2</v>
      </c>
      <c r="F142" s="19" t="s">
        <v>226</v>
      </c>
      <c r="G142" s="30" t="str">
        <f>VLOOKUP(C142,Guests!$A$2:$E$189,4,0)</f>
        <v>Greece</v>
      </c>
      <c r="H142" s="18">
        <v>45857</v>
      </c>
      <c r="I142" s="18">
        <v>45858</v>
      </c>
      <c r="J142" s="29">
        <v>1</v>
      </c>
      <c r="K142" s="20">
        <v>45</v>
      </c>
      <c r="L142" s="20">
        <v>0</v>
      </c>
      <c r="M142" s="20">
        <f t="shared" si="4"/>
        <v>45</v>
      </c>
      <c r="N142" s="20">
        <f t="shared" si="5"/>
        <v>45</v>
      </c>
      <c r="O142" s="19" t="s">
        <v>243</v>
      </c>
      <c r="P142" s="19" t="s">
        <v>223</v>
      </c>
      <c r="Q142" s="19" t="s">
        <v>228</v>
      </c>
    </row>
    <row r="143" spans="1:17" x14ac:dyDescent="0.25">
      <c r="A143" s="19" t="s">
        <v>379</v>
      </c>
      <c r="B143" s="19" t="s">
        <v>220</v>
      </c>
      <c r="C143" s="19" t="s">
        <v>126</v>
      </c>
      <c r="D143" s="29">
        <v>107</v>
      </c>
      <c r="E143" s="29">
        <v>3</v>
      </c>
      <c r="F143" s="19" t="s">
        <v>230</v>
      </c>
      <c r="G143" s="30" t="str">
        <f>VLOOKUP(C143,Guests!$A$2:$E$189,4,0)</f>
        <v>Serbia</v>
      </c>
      <c r="H143" s="18">
        <v>45864</v>
      </c>
      <c r="I143" s="18">
        <v>45866</v>
      </c>
      <c r="J143" s="29">
        <v>2</v>
      </c>
      <c r="K143" s="20">
        <v>57</v>
      </c>
      <c r="L143" s="20">
        <v>0</v>
      </c>
      <c r="M143" s="20">
        <f t="shared" si="4"/>
        <v>114</v>
      </c>
      <c r="N143" s="20">
        <f t="shared" si="5"/>
        <v>114</v>
      </c>
      <c r="O143" s="19" t="s">
        <v>243</v>
      </c>
      <c r="P143" s="19" t="s">
        <v>227</v>
      </c>
      <c r="Q143" s="19" t="s">
        <v>228</v>
      </c>
    </row>
    <row r="144" spans="1:17" x14ac:dyDescent="0.25">
      <c r="A144" s="19" t="s">
        <v>380</v>
      </c>
      <c r="B144" s="19" t="s">
        <v>220</v>
      </c>
      <c r="C144" s="19" t="s">
        <v>127</v>
      </c>
      <c r="D144" s="29">
        <v>3</v>
      </c>
      <c r="E144" s="29">
        <v>3</v>
      </c>
      <c r="F144" s="19" t="s">
        <v>230</v>
      </c>
      <c r="G144" s="30" t="str">
        <f>VLOOKUP(C144,Guests!$A$2:$E$189,4,0)</f>
        <v>MKD</v>
      </c>
      <c r="H144" s="18">
        <v>45857</v>
      </c>
      <c r="I144" s="18">
        <v>45858</v>
      </c>
      <c r="J144" s="29">
        <v>1</v>
      </c>
      <c r="K144" s="20">
        <v>55</v>
      </c>
      <c r="L144" s="20">
        <v>0</v>
      </c>
      <c r="M144" s="20">
        <f t="shared" si="4"/>
        <v>55</v>
      </c>
      <c r="N144" s="20">
        <f t="shared" si="5"/>
        <v>55</v>
      </c>
      <c r="O144" s="19" t="s">
        <v>243</v>
      </c>
      <c r="P144" s="19" t="s">
        <v>223</v>
      </c>
      <c r="Q144" s="19" t="s">
        <v>228</v>
      </c>
    </row>
    <row r="145" spans="1:17" x14ac:dyDescent="0.25">
      <c r="A145" s="19" t="s">
        <v>381</v>
      </c>
      <c r="B145" s="19" t="s">
        <v>220</v>
      </c>
      <c r="C145" s="19" t="s">
        <v>128</v>
      </c>
      <c r="D145" s="29">
        <v>8</v>
      </c>
      <c r="E145" s="29">
        <v>3</v>
      </c>
      <c r="F145" s="19" t="s">
        <v>230</v>
      </c>
      <c r="G145" s="30" t="str">
        <f>VLOOKUP(C145,Guests!$A$2:$E$189,4,0)</f>
        <v>Greece</v>
      </c>
      <c r="H145" s="18">
        <v>45872</v>
      </c>
      <c r="I145" s="18">
        <v>45878</v>
      </c>
      <c r="J145" s="29">
        <v>6</v>
      </c>
      <c r="K145" s="20">
        <v>50</v>
      </c>
      <c r="L145" s="20">
        <v>0</v>
      </c>
      <c r="M145" s="20">
        <f t="shared" si="4"/>
        <v>300</v>
      </c>
      <c r="N145" s="20">
        <f t="shared" si="5"/>
        <v>300</v>
      </c>
      <c r="O145" s="19" t="s">
        <v>261</v>
      </c>
      <c r="P145" s="19" t="s">
        <v>223</v>
      </c>
      <c r="Q145" s="19" t="s">
        <v>228</v>
      </c>
    </row>
    <row r="146" spans="1:17" x14ac:dyDescent="0.25">
      <c r="A146" s="19" t="s">
        <v>382</v>
      </c>
      <c r="B146" s="19" t="s">
        <v>220</v>
      </c>
      <c r="C146" s="19" t="s">
        <v>129</v>
      </c>
      <c r="D146" s="29">
        <v>1</v>
      </c>
      <c r="E146" s="29">
        <v>3</v>
      </c>
      <c r="F146" s="19" t="s">
        <v>230</v>
      </c>
      <c r="G146" s="30" t="str">
        <f>VLOOKUP(C146,Guests!$A$2:$E$189,4,0)</f>
        <v>Serbia</v>
      </c>
      <c r="H146" s="18">
        <v>45861</v>
      </c>
      <c r="I146" s="18">
        <v>45866</v>
      </c>
      <c r="J146" s="29">
        <v>5</v>
      </c>
      <c r="K146" s="20">
        <v>45</v>
      </c>
      <c r="L146" s="20">
        <v>0</v>
      </c>
      <c r="M146" s="20">
        <f t="shared" si="4"/>
        <v>225</v>
      </c>
      <c r="N146" s="20">
        <f t="shared" si="5"/>
        <v>225</v>
      </c>
      <c r="O146" s="19" t="s">
        <v>243</v>
      </c>
      <c r="P146" s="19" t="s">
        <v>227</v>
      </c>
      <c r="Q146" s="19" t="s">
        <v>228</v>
      </c>
    </row>
    <row r="147" spans="1:17" x14ac:dyDescent="0.25">
      <c r="A147" s="19" t="s">
        <v>383</v>
      </c>
      <c r="B147" s="19" t="s">
        <v>220</v>
      </c>
      <c r="C147" s="19" t="s">
        <v>125</v>
      </c>
      <c r="D147" s="29">
        <v>8</v>
      </c>
      <c r="E147" s="29">
        <v>2</v>
      </c>
      <c r="F147" s="19" t="s">
        <v>226</v>
      </c>
      <c r="G147" s="30" t="str">
        <f>VLOOKUP(C147,Guests!$A$2:$E$189,4,0)</f>
        <v>Greece</v>
      </c>
      <c r="H147" s="18">
        <v>45864</v>
      </c>
      <c r="I147" s="18">
        <v>45865</v>
      </c>
      <c r="J147" s="29">
        <v>1</v>
      </c>
      <c r="K147" s="20">
        <v>47</v>
      </c>
      <c r="L147" s="20">
        <v>0</v>
      </c>
      <c r="M147" s="20">
        <f t="shared" si="4"/>
        <v>47</v>
      </c>
      <c r="N147" s="20">
        <f t="shared" si="5"/>
        <v>47</v>
      </c>
      <c r="O147" s="19" t="s">
        <v>243</v>
      </c>
      <c r="P147" s="19" t="s">
        <v>223</v>
      </c>
      <c r="Q147" s="19" t="s">
        <v>224</v>
      </c>
    </row>
    <row r="148" spans="1:17" x14ac:dyDescent="0.25">
      <c r="A148" s="19" t="s">
        <v>384</v>
      </c>
      <c r="B148" s="19" t="s">
        <v>220</v>
      </c>
      <c r="C148" s="19" t="s">
        <v>130</v>
      </c>
      <c r="D148" s="29">
        <v>7</v>
      </c>
      <c r="E148" s="29">
        <v>1</v>
      </c>
      <c r="F148" s="19" t="s">
        <v>221</v>
      </c>
      <c r="G148" s="30" t="str">
        <f>VLOOKUP(C148,Guests!$A$2:$E$189,4,0)</f>
        <v>Greece</v>
      </c>
      <c r="H148" s="18">
        <v>45886</v>
      </c>
      <c r="I148" s="18">
        <v>45890</v>
      </c>
      <c r="J148" s="29">
        <v>4</v>
      </c>
      <c r="K148" s="20">
        <v>47</v>
      </c>
      <c r="L148" s="20">
        <v>0</v>
      </c>
      <c r="M148" s="20">
        <f t="shared" si="4"/>
        <v>188</v>
      </c>
      <c r="N148" s="20">
        <f t="shared" si="5"/>
        <v>188</v>
      </c>
      <c r="O148" s="19" t="s">
        <v>261</v>
      </c>
      <c r="P148" s="19" t="s">
        <v>223</v>
      </c>
      <c r="Q148" s="19" t="s">
        <v>228</v>
      </c>
    </row>
    <row r="149" spans="1:17" x14ac:dyDescent="0.25">
      <c r="A149" s="19" t="s">
        <v>385</v>
      </c>
      <c r="B149" s="19" t="s">
        <v>220</v>
      </c>
      <c r="C149" s="19" t="s">
        <v>131</v>
      </c>
      <c r="D149" s="29">
        <v>3</v>
      </c>
      <c r="E149" s="29">
        <v>2</v>
      </c>
      <c r="F149" s="19" t="s">
        <v>226</v>
      </c>
      <c r="G149" s="30" t="str">
        <f>VLOOKUP(C149,Guests!$A$2:$E$189,4,0)</f>
        <v>Serbia</v>
      </c>
      <c r="H149" s="18">
        <v>45876</v>
      </c>
      <c r="I149" s="18">
        <v>45883</v>
      </c>
      <c r="J149" s="29">
        <v>7</v>
      </c>
      <c r="K149" s="20">
        <v>42</v>
      </c>
      <c r="L149" s="20">
        <v>0</v>
      </c>
      <c r="M149" s="20">
        <f t="shared" si="4"/>
        <v>294</v>
      </c>
      <c r="N149" s="20">
        <f t="shared" si="5"/>
        <v>294</v>
      </c>
      <c r="O149" s="19" t="s">
        <v>261</v>
      </c>
      <c r="P149" s="19" t="s">
        <v>227</v>
      </c>
      <c r="Q149" s="19" t="s">
        <v>228</v>
      </c>
    </row>
    <row r="150" spans="1:17" x14ac:dyDescent="0.25">
      <c r="A150" s="19" t="s">
        <v>386</v>
      </c>
      <c r="B150" s="19" t="s">
        <v>220</v>
      </c>
      <c r="C150" s="19" t="s">
        <v>132</v>
      </c>
      <c r="D150" s="29">
        <v>105</v>
      </c>
      <c r="E150" s="29">
        <v>1</v>
      </c>
      <c r="F150" s="19" t="s">
        <v>221</v>
      </c>
      <c r="G150" s="30" t="str">
        <f>VLOOKUP(C150,Guests!$A$2:$E$189,4,0)</f>
        <v>Greece</v>
      </c>
      <c r="H150" s="18">
        <v>45863</v>
      </c>
      <c r="I150" s="18">
        <v>45866</v>
      </c>
      <c r="J150" s="29">
        <v>3</v>
      </c>
      <c r="K150" s="20">
        <v>42</v>
      </c>
      <c r="L150" s="20">
        <v>0</v>
      </c>
      <c r="M150" s="20">
        <f t="shared" si="4"/>
        <v>126</v>
      </c>
      <c r="N150" s="20">
        <f t="shared" si="5"/>
        <v>126</v>
      </c>
      <c r="O150" s="19" t="s">
        <v>243</v>
      </c>
      <c r="P150" s="19" t="s">
        <v>223</v>
      </c>
      <c r="Q150" s="19" t="s">
        <v>228</v>
      </c>
    </row>
    <row r="151" spans="1:17" x14ac:dyDescent="0.25">
      <c r="A151" s="19" t="s">
        <v>387</v>
      </c>
      <c r="B151" s="19" t="s">
        <v>220</v>
      </c>
      <c r="C151" s="19" t="s">
        <v>133</v>
      </c>
      <c r="D151" s="29">
        <v>2</v>
      </c>
      <c r="E151" s="29">
        <v>2</v>
      </c>
      <c r="F151" s="19" t="s">
        <v>226</v>
      </c>
      <c r="G151" s="30" t="str">
        <f>VLOOKUP(C151,Guests!$A$2:$E$189,4,0)</f>
        <v>MKD</v>
      </c>
      <c r="H151" s="18">
        <v>45882</v>
      </c>
      <c r="I151" s="18">
        <v>45886</v>
      </c>
      <c r="J151" s="29">
        <v>4</v>
      </c>
      <c r="K151" s="20">
        <v>47</v>
      </c>
      <c r="L151" s="20">
        <v>0</v>
      </c>
      <c r="M151" s="20">
        <f t="shared" si="4"/>
        <v>188</v>
      </c>
      <c r="N151" s="20">
        <f t="shared" si="5"/>
        <v>188</v>
      </c>
      <c r="O151" s="19" t="s">
        <v>261</v>
      </c>
      <c r="P151" s="19" t="s">
        <v>227</v>
      </c>
      <c r="Q151" s="19" t="s">
        <v>228</v>
      </c>
    </row>
    <row r="152" spans="1:17" x14ac:dyDescent="0.25">
      <c r="A152" s="19" t="s">
        <v>388</v>
      </c>
      <c r="B152" s="19" t="s">
        <v>309</v>
      </c>
      <c r="C152" s="19" t="s">
        <v>134</v>
      </c>
      <c r="D152" s="29">
        <v>107</v>
      </c>
      <c r="E152" s="29">
        <v>2</v>
      </c>
      <c r="F152" s="19" t="s">
        <v>226</v>
      </c>
      <c r="G152" s="30" t="str">
        <f>VLOOKUP(C152,Guests!$A$2:$E$189,4,0)</f>
        <v>Serbia</v>
      </c>
      <c r="H152" s="18">
        <v>45889</v>
      </c>
      <c r="I152" s="18">
        <v>45899</v>
      </c>
      <c r="J152" s="29">
        <v>10</v>
      </c>
      <c r="K152" s="20">
        <v>45</v>
      </c>
      <c r="L152" s="20">
        <v>0</v>
      </c>
      <c r="M152" s="20">
        <f t="shared" si="4"/>
        <v>450</v>
      </c>
      <c r="N152" s="20">
        <f t="shared" si="5"/>
        <v>450</v>
      </c>
      <c r="O152" s="19" t="s">
        <v>261</v>
      </c>
      <c r="P152" s="19" t="s">
        <v>223</v>
      </c>
      <c r="Q152" s="19" t="s">
        <v>228</v>
      </c>
    </row>
    <row r="153" spans="1:17" x14ac:dyDescent="0.25">
      <c r="A153" s="19" t="s">
        <v>389</v>
      </c>
      <c r="B153" s="19" t="s">
        <v>220</v>
      </c>
      <c r="C153" s="19" t="s">
        <v>132</v>
      </c>
      <c r="D153" s="29">
        <v>104</v>
      </c>
      <c r="E153" s="29">
        <v>1</v>
      </c>
      <c r="F153" s="19" t="s">
        <v>221</v>
      </c>
      <c r="G153" s="30" t="str">
        <f>VLOOKUP(C153,Guests!$A$2:$E$189,4,0)</f>
        <v>Greece</v>
      </c>
      <c r="H153" s="18">
        <v>45866</v>
      </c>
      <c r="I153" s="18">
        <v>45867</v>
      </c>
      <c r="J153" s="29">
        <v>1</v>
      </c>
      <c r="K153" s="20">
        <v>42</v>
      </c>
      <c r="L153" s="20">
        <v>0</v>
      </c>
      <c r="M153" s="20">
        <f t="shared" si="4"/>
        <v>42</v>
      </c>
      <c r="N153" s="20">
        <f t="shared" si="5"/>
        <v>42</v>
      </c>
      <c r="O153" s="19" t="s">
        <v>243</v>
      </c>
      <c r="P153" s="19" t="s">
        <v>223</v>
      </c>
      <c r="Q153" s="19" t="s">
        <v>228</v>
      </c>
    </row>
    <row r="154" spans="1:17" x14ac:dyDescent="0.25">
      <c r="A154" s="19" t="s">
        <v>390</v>
      </c>
      <c r="B154" s="19" t="s">
        <v>220</v>
      </c>
      <c r="C154" s="19" t="s">
        <v>135</v>
      </c>
      <c r="D154" s="29">
        <v>104</v>
      </c>
      <c r="E154" s="29">
        <v>3</v>
      </c>
      <c r="F154" s="19" t="s">
        <v>230</v>
      </c>
      <c r="G154" s="30" t="str">
        <f>VLOOKUP(C154,Guests!$A$2:$E$189,4,0)</f>
        <v>Greece</v>
      </c>
      <c r="H154" s="18">
        <v>45867</v>
      </c>
      <c r="I154" s="18">
        <v>45869</v>
      </c>
      <c r="J154" s="29">
        <v>2</v>
      </c>
      <c r="K154" s="20">
        <v>52</v>
      </c>
      <c r="L154" s="20">
        <v>0</v>
      </c>
      <c r="M154" s="20">
        <f t="shared" si="4"/>
        <v>104</v>
      </c>
      <c r="N154" s="20">
        <f t="shared" si="5"/>
        <v>104</v>
      </c>
      <c r="O154" s="19" t="s">
        <v>243</v>
      </c>
      <c r="P154" s="19" t="s">
        <v>296</v>
      </c>
      <c r="Q154" s="19" t="s">
        <v>228</v>
      </c>
    </row>
    <row r="155" spans="1:17" x14ac:dyDescent="0.25">
      <c r="A155" s="19" t="s">
        <v>391</v>
      </c>
      <c r="B155" s="19" t="s">
        <v>220</v>
      </c>
      <c r="C155" s="19" t="s">
        <v>136</v>
      </c>
      <c r="D155" s="29">
        <v>4</v>
      </c>
      <c r="E155" s="29">
        <v>4</v>
      </c>
      <c r="F155" s="19" t="s">
        <v>230</v>
      </c>
      <c r="G155" s="30" t="str">
        <f>VLOOKUP(C155,Guests!$A$2:$E$189,4,0)</f>
        <v>Greece</v>
      </c>
      <c r="H155" s="18">
        <v>45872</v>
      </c>
      <c r="I155" s="18">
        <v>45876</v>
      </c>
      <c r="J155" s="29">
        <v>4</v>
      </c>
      <c r="K155" s="20">
        <v>55</v>
      </c>
      <c r="L155" s="20">
        <v>0</v>
      </c>
      <c r="M155" s="20">
        <f t="shared" si="4"/>
        <v>220</v>
      </c>
      <c r="N155" s="20">
        <f t="shared" si="5"/>
        <v>220</v>
      </c>
      <c r="O155" s="19" t="s">
        <v>261</v>
      </c>
      <c r="P155" s="19" t="s">
        <v>223</v>
      </c>
      <c r="Q155" s="19" t="s">
        <v>228</v>
      </c>
    </row>
    <row r="156" spans="1:17" x14ac:dyDescent="0.25">
      <c r="A156" s="19" t="s">
        <v>392</v>
      </c>
      <c r="B156" s="19" t="s">
        <v>220</v>
      </c>
      <c r="C156" s="19" t="s">
        <v>137</v>
      </c>
      <c r="D156" s="29">
        <v>102</v>
      </c>
      <c r="E156" s="29">
        <v>2</v>
      </c>
      <c r="F156" s="19" t="s">
        <v>226</v>
      </c>
      <c r="G156" s="30" t="str">
        <f>VLOOKUP(C156,Guests!$A$2:$E$189,4,0)</f>
        <v>MKD</v>
      </c>
      <c r="H156" s="18">
        <v>45901</v>
      </c>
      <c r="I156" s="18">
        <v>45905</v>
      </c>
      <c r="J156" s="29">
        <v>4</v>
      </c>
      <c r="K156" s="20">
        <v>40</v>
      </c>
      <c r="L156" s="20">
        <v>0</v>
      </c>
      <c r="M156" s="20">
        <f t="shared" si="4"/>
        <v>160</v>
      </c>
      <c r="N156" s="20">
        <f t="shared" si="5"/>
        <v>160</v>
      </c>
      <c r="O156" s="19" t="s">
        <v>344</v>
      </c>
      <c r="P156" s="19" t="s">
        <v>227</v>
      </c>
      <c r="Q156" s="19" t="s">
        <v>259</v>
      </c>
    </row>
    <row r="157" spans="1:17" x14ac:dyDescent="0.25">
      <c r="A157" s="19" t="s">
        <v>393</v>
      </c>
      <c r="B157" s="19" t="s">
        <v>220</v>
      </c>
      <c r="C157" s="19" t="s">
        <v>138</v>
      </c>
      <c r="D157" s="29">
        <v>3</v>
      </c>
      <c r="E157" s="29">
        <v>2</v>
      </c>
      <c r="F157" s="19" t="s">
        <v>226</v>
      </c>
      <c r="G157" s="30" t="str">
        <f>VLOOKUP(C157,Guests!$A$2:$E$189,4,0)</f>
        <v>Serbia</v>
      </c>
      <c r="H157" s="18">
        <v>45870</v>
      </c>
      <c r="I157" s="18">
        <v>45876</v>
      </c>
      <c r="J157" s="29">
        <v>6</v>
      </c>
      <c r="K157" s="20">
        <v>45</v>
      </c>
      <c r="L157" s="20">
        <v>0</v>
      </c>
      <c r="M157" s="20">
        <f t="shared" si="4"/>
        <v>270</v>
      </c>
      <c r="N157" s="20">
        <f t="shared" si="5"/>
        <v>270</v>
      </c>
      <c r="O157" s="19" t="s">
        <v>261</v>
      </c>
      <c r="P157" s="19" t="s">
        <v>296</v>
      </c>
      <c r="Q157" s="19" t="s">
        <v>228</v>
      </c>
    </row>
    <row r="158" spans="1:17" x14ac:dyDescent="0.25">
      <c r="A158" s="19" t="s">
        <v>394</v>
      </c>
      <c r="B158" s="19" t="s">
        <v>220</v>
      </c>
      <c r="C158" s="19" t="s">
        <v>139</v>
      </c>
      <c r="D158" s="29">
        <v>105</v>
      </c>
      <c r="E158" s="29">
        <v>3</v>
      </c>
      <c r="F158" s="19" t="s">
        <v>230</v>
      </c>
      <c r="G158" s="30" t="str">
        <f>VLOOKUP(C158,Guests!$A$2:$E$189,4,0)</f>
        <v>Serbia</v>
      </c>
      <c r="H158" s="18">
        <v>45874</v>
      </c>
      <c r="I158" s="18">
        <v>45877</v>
      </c>
      <c r="J158" s="29">
        <v>3</v>
      </c>
      <c r="K158" s="20">
        <v>47</v>
      </c>
      <c r="L158" s="20">
        <v>0</v>
      </c>
      <c r="M158" s="20">
        <f t="shared" si="4"/>
        <v>141</v>
      </c>
      <c r="N158" s="20">
        <f t="shared" si="5"/>
        <v>141</v>
      </c>
      <c r="O158" s="19" t="s">
        <v>261</v>
      </c>
      <c r="P158" s="19" t="s">
        <v>223</v>
      </c>
      <c r="Q158" s="19" t="s">
        <v>228</v>
      </c>
    </row>
    <row r="159" spans="1:17" x14ac:dyDescent="0.25">
      <c r="A159" s="19" t="s">
        <v>395</v>
      </c>
      <c r="B159" s="19" t="s">
        <v>220</v>
      </c>
      <c r="C159" s="19" t="s">
        <v>139</v>
      </c>
      <c r="D159" s="29">
        <v>6</v>
      </c>
      <c r="E159" s="29">
        <v>3</v>
      </c>
      <c r="F159" s="19" t="s">
        <v>230</v>
      </c>
      <c r="G159" s="30" t="str">
        <f>VLOOKUP(C159,Guests!$A$2:$E$189,4,0)</f>
        <v>Serbia</v>
      </c>
      <c r="H159" s="18">
        <v>45877</v>
      </c>
      <c r="I159" s="18">
        <v>45879</v>
      </c>
      <c r="J159" s="29">
        <v>2</v>
      </c>
      <c r="K159" s="20">
        <v>47</v>
      </c>
      <c r="L159" s="20">
        <v>0</v>
      </c>
      <c r="M159" s="20">
        <f t="shared" si="4"/>
        <v>94</v>
      </c>
      <c r="N159" s="20">
        <f t="shared" si="5"/>
        <v>94</v>
      </c>
      <c r="O159" s="19" t="s">
        <v>261</v>
      </c>
      <c r="P159" s="19" t="s">
        <v>223</v>
      </c>
      <c r="Q159" s="19" t="s">
        <v>228</v>
      </c>
    </row>
    <row r="160" spans="1:17" x14ac:dyDescent="0.25">
      <c r="A160" s="19" t="s">
        <v>396</v>
      </c>
      <c r="B160" s="19" t="s">
        <v>220</v>
      </c>
      <c r="C160" s="19" t="s">
        <v>140</v>
      </c>
      <c r="D160" s="29">
        <v>5</v>
      </c>
      <c r="E160" s="29">
        <v>2</v>
      </c>
      <c r="F160" s="19" t="s">
        <v>226</v>
      </c>
      <c r="G160" s="30" t="str">
        <f>VLOOKUP(C160,Guests!$A$2:$E$189,4,0)</f>
        <v>MKD</v>
      </c>
      <c r="H160" s="18">
        <v>45871</v>
      </c>
      <c r="I160" s="18">
        <v>45873</v>
      </c>
      <c r="J160" s="29">
        <v>2</v>
      </c>
      <c r="K160" s="20">
        <v>45</v>
      </c>
      <c r="L160" s="20">
        <v>0</v>
      </c>
      <c r="M160" s="20">
        <f t="shared" si="4"/>
        <v>90</v>
      </c>
      <c r="N160" s="20">
        <f t="shared" si="5"/>
        <v>90</v>
      </c>
      <c r="O160" s="19" t="s">
        <v>261</v>
      </c>
      <c r="P160" s="19" t="s">
        <v>296</v>
      </c>
      <c r="Q160" s="19" t="s">
        <v>228</v>
      </c>
    </row>
    <row r="161" spans="1:17" x14ac:dyDescent="0.25">
      <c r="A161" s="19" t="s">
        <v>397</v>
      </c>
      <c r="B161" s="19" t="s">
        <v>220</v>
      </c>
      <c r="C161" s="19" t="s">
        <v>142</v>
      </c>
      <c r="D161" s="29">
        <v>4</v>
      </c>
      <c r="E161" s="29">
        <v>4</v>
      </c>
      <c r="F161" s="19" t="s">
        <v>230</v>
      </c>
      <c r="G161" s="30" t="str">
        <f>VLOOKUP(C161,Guests!$A$2:$E$189,4,0)</f>
        <v>MKD</v>
      </c>
      <c r="H161" s="18">
        <v>45871</v>
      </c>
      <c r="I161" s="18">
        <v>45872</v>
      </c>
      <c r="J161" s="29">
        <v>1</v>
      </c>
      <c r="K161" s="20">
        <v>50</v>
      </c>
      <c r="L161" s="20">
        <v>0</v>
      </c>
      <c r="M161" s="20">
        <f t="shared" si="4"/>
        <v>50</v>
      </c>
      <c r="N161" s="20">
        <f t="shared" si="5"/>
        <v>50</v>
      </c>
      <c r="O161" s="19" t="s">
        <v>261</v>
      </c>
      <c r="P161" s="19" t="s">
        <v>296</v>
      </c>
      <c r="Q161" s="19" t="s">
        <v>228</v>
      </c>
    </row>
    <row r="162" spans="1:17" x14ac:dyDescent="0.25">
      <c r="A162" s="19" t="s">
        <v>398</v>
      </c>
      <c r="B162" s="19" t="s">
        <v>220</v>
      </c>
      <c r="C162" s="19" t="s">
        <v>143</v>
      </c>
      <c r="D162" s="29">
        <v>106</v>
      </c>
      <c r="E162" s="29">
        <v>4</v>
      </c>
      <c r="F162" s="19" t="s">
        <v>230</v>
      </c>
      <c r="G162" s="30" t="str">
        <f>VLOOKUP(C162,Guests!$A$2:$E$189,4,0)</f>
        <v>Greece</v>
      </c>
      <c r="H162" s="18">
        <v>45886</v>
      </c>
      <c r="I162" s="18">
        <v>45890</v>
      </c>
      <c r="J162" s="29">
        <v>4</v>
      </c>
      <c r="K162" s="20">
        <v>50</v>
      </c>
      <c r="L162" s="20">
        <v>0</v>
      </c>
      <c r="M162" s="20">
        <f t="shared" si="4"/>
        <v>200</v>
      </c>
      <c r="N162" s="20">
        <f t="shared" si="5"/>
        <v>200</v>
      </c>
      <c r="O162" s="19" t="s">
        <v>261</v>
      </c>
      <c r="P162" s="19" t="s">
        <v>223</v>
      </c>
      <c r="Q162" s="19" t="s">
        <v>228</v>
      </c>
    </row>
    <row r="163" spans="1:17" x14ac:dyDescent="0.25">
      <c r="A163" s="19" t="s">
        <v>399</v>
      </c>
      <c r="B163" s="19" t="s">
        <v>220</v>
      </c>
      <c r="C163" s="19" t="s">
        <v>144</v>
      </c>
      <c r="D163" s="29">
        <v>102</v>
      </c>
      <c r="E163" s="29">
        <v>3</v>
      </c>
      <c r="F163" s="19" t="s">
        <v>230</v>
      </c>
      <c r="G163" s="30" t="str">
        <f>VLOOKUP(C163,Guests!$A$2:$E$189,4,0)</f>
        <v>Greece</v>
      </c>
      <c r="H163" s="18">
        <v>45887</v>
      </c>
      <c r="I163" s="18">
        <v>45891</v>
      </c>
      <c r="J163" s="29">
        <v>4</v>
      </c>
      <c r="K163" s="20">
        <v>50</v>
      </c>
      <c r="L163" s="20">
        <v>0</v>
      </c>
      <c r="M163" s="20">
        <f t="shared" si="4"/>
        <v>200</v>
      </c>
      <c r="N163" s="20">
        <f t="shared" si="5"/>
        <v>200</v>
      </c>
      <c r="O163" s="19" t="s">
        <v>261</v>
      </c>
      <c r="P163" s="19" t="s">
        <v>223</v>
      </c>
      <c r="Q163" s="19" t="s">
        <v>259</v>
      </c>
    </row>
    <row r="164" spans="1:17" x14ac:dyDescent="0.25">
      <c r="A164" s="19" t="s">
        <v>400</v>
      </c>
      <c r="B164" s="19" t="s">
        <v>220</v>
      </c>
      <c r="C164" s="19" t="s">
        <v>147</v>
      </c>
      <c r="D164" s="29">
        <v>3</v>
      </c>
      <c r="E164" s="29">
        <v>2</v>
      </c>
      <c r="F164" s="19" t="s">
        <v>226</v>
      </c>
      <c r="G164" s="30" t="str">
        <f>VLOOKUP(C164,Guests!$A$2:$E$189,4,0)</f>
        <v>Serbia</v>
      </c>
      <c r="H164" s="18">
        <v>45907</v>
      </c>
      <c r="I164" s="18">
        <v>45922</v>
      </c>
      <c r="J164" s="29">
        <v>15</v>
      </c>
      <c r="K164" s="20">
        <v>30</v>
      </c>
      <c r="L164" s="20">
        <v>0</v>
      </c>
      <c r="M164" s="20">
        <f t="shared" si="4"/>
        <v>450</v>
      </c>
      <c r="N164" s="20">
        <f t="shared" si="5"/>
        <v>450</v>
      </c>
      <c r="O164" s="19" t="s">
        <v>344</v>
      </c>
      <c r="P164" s="19" t="s">
        <v>246</v>
      </c>
      <c r="Q164" s="19" t="s">
        <v>259</v>
      </c>
    </row>
    <row r="165" spans="1:17" x14ac:dyDescent="0.25">
      <c r="A165" s="19" t="s">
        <v>401</v>
      </c>
      <c r="B165" s="19" t="s">
        <v>220</v>
      </c>
      <c r="C165" s="19" t="s">
        <v>148</v>
      </c>
      <c r="D165" s="29">
        <v>106</v>
      </c>
      <c r="E165" s="29">
        <v>4</v>
      </c>
      <c r="F165" s="19" t="s">
        <v>230</v>
      </c>
      <c r="G165" s="30" t="str">
        <f>VLOOKUP(C165,Guests!$A$2:$E$189,4,0)</f>
        <v>Greece</v>
      </c>
      <c r="H165" s="18">
        <v>45880</v>
      </c>
      <c r="I165" s="18">
        <v>45881</v>
      </c>
      <c r="J165" s="29">
        <v>1</v>
      </c>
      <c r="K165" s="20">
        <v>50</v>
      </c>
      <c r="L165" s="20">
        <v>0</v>
      </c>
      <c r="M165" s="20">
        <f t="shared" si="4"/>
        <v>50</v>
      </c>
      <c r="N165" s="20">
        <f t="shared" si="5"/>
        <v>50</v>
      </c>
      <c r="O165" s="19" t="s">
        <v>261</v>
      </c>
      <c r="P165" s="19" t="s">
        <v>223</v>
      </c>
      <c r="Q165" s="19" t="s">
        <v>259</v>
      </c>
    </row>
    <row r="166" spans="1:17" x14ac:dyDescent="0.25">
      <c r="A166" s="19" t="s">
        <v>402</v>
      </c>
      <c r="B166" s="19" t="s">
        <v>220</v>
      </c>
      <c r="C166" s="19" t="s">
        <v>149</v>
      </c>
      <c r="D166" s="29">
        <v>7</v>
      </c>
      <c r="E166" s="29">
        <v>2</v>
      </c>
      <c r="F166" s="19" t="s">
        <v>226</v>
      </c>
      <c r="G166" s="30" t="str">
        <f>VLOOKUP(C166,Guests!$A$2:$E$189,4,0)</f>
        <v>Greece</v>
      </c>
      <c r="H166" s="18">
        <v>45901</v>
      </c>
      <c r="I166" s="18">
        <v>45907</v>
      </c>
      <c r="J166" s="29">
        <v>6</v>
      </c>
      <c r="K166" s="20">
        <v>50</v>
      </c>
      <c r="L166" s="20">
        <v>0</v>
      </c>
      <c r="M166" s="20">
        <f t="shared" si="4"/>
        <v>300</v>
      </c>
      <c r="N166" s="20">
        <f t="shared" si="5"/>
        <v>300</v>
      </c>
      <c r="O166" s="19" t="s">
        <v>344</v>
      </c>
      <c r="P166" s="19" t="s">
        <v>223</v>
      </c>
      <c r="Q166" s="19" t="s">
        <v>228</v>
      </c>
    </row>
    <row r="167" spans="1:17" x14ac:dyDescent="0.25">
      <c r="A167" s="19" t="s">
        <v>403</v>
      </c>
      <c r="B167" s="19" t="s">
        <v>220</v>
      </c>
      <c r="C167" s="19" t="s">
        <v>150</v>
      </c>
      <c r="D167" s="29">
        <v>6</v>
      </c>
      <c r="E167" s="29">
        <v>3</v>
      </c>
      <c r="F167" s="19" t="s">
        <v>230</v>
      </c>
      <c r="G167" s="30" t="str">
        <f>VLOOKUP(C167,Guests!$A$2:$E$189,4,0)</f>
        <v>MKD</v>
      </c>
      <c r="H167" s="18">
        <v>45880</v>
      </c>
      <c r="I167" s="18">
        <v>45883</v>
      </c>
      <c r="J167" s="29">
        <v>3</v>
      </c>
      <c r="K167" s="20">
        <v>45</v>
      </c>
      <c r="L167" s="20">
        <v>0</v>
      </c>
      <c r="M167" s="20">
        <f t="shared" si="4"/>
        <v>135</v>
      </c>
      <c r="N167" s="20">
        <f t="shared" si="5"/>
        <v>135</v>
      </c>
      <c r="O167" s="19" t="s">
        <v>261</v>
      </c>
      <c r="P167" s="19" t="s">
        <v>296</v>
      </c>
      <c r="Q167" s="19" t="s">
        <v>224</v>
      </c>
    </row>
    <row r="168" spans="1:17" x14ac:dyDescent="0.25">
      <c r="A168" s="19" t="s">
        <v>404</v>
      </c>
      <c r="B168" s="19" t="s">
        <v>220</v>
      </c>
      <c r="C168" s="19" t="s">
        <v>151</v>
      </c>
      <c r="D168" s="29">
        <v>7</v>
      </c>
      <c r="E168" s="29">
        <v>2</v>
      </c>
      <c r="F168" s="19" t="s">
        <v>226</v>
      </c>
      <c r="G168" s="30" t="str">
        <f>VLOOKUP(C168,Guests!$A$2:$E$189,4,0)</f>
        <v>Greece</v>
      </c>
      <c r="H168" s="18">
        <v>45894</v>
      </c>
      <c r="I168" s="18">
        <v>45900</v>
      </c>
      <c r="J168" s="29">
        <v>6</v>
      </c>
      <c r="K168" s="20">
        <v>50</v>
      </c>
      <c r="L168" s="20">
        <v>50</v>
      </c>
      <c r="M168" s="20">
        <f t="shared" si="4"/>
        <v>250</v>
      </c>
      <c r="N168" s="20">
        <f t="shared" si="5"/>
        <v>300</v>
      </c>
      <c r="O168" s="19" t="s">
        <v>261</v>
      </c>
      <c r="P168" s="19" t="s">
        <v>223</v>
      </c>
      <c r="Q168" s="19" t="s">
        <v>224</v>
      </c>
    </row>
    <row r="169" spans="1:17" x14ac:dyDescent="0.25">
      <c r="A169" s="19" t="s">
        <v>405</v>
      </c>
      <c r="B169" s="19" t="s">
        <v>220</v>
      </c>
      <c r="C169" s="19" t="s">
        <v>183</v>
      </c>
      <c r="D169" s="29">
        <v>104</v>
      </c>
      <c r="E169" s="29">
        <v>2</v>
      </c>
      <c r="F169" s="19" t="s">
        <v>226</v>
      </c>
      <c r="G169" s="30" t="str">
        <f>VLOOKUP(C169,Guests!$A$2:$E$189,4,0)</f>
        <v>MKD</v>
      </c>
      <c r="H169" s="18">
        <v>45896</v>
      </c>
      <c r="I169" s="18">
        <v>45900</v>
      </c>
      <c r="J169" s="29">
        <v>4</v>
      </c>
      <c r="K169" s="20">
        <v>40</v>
      </c>
      <c r="L169" s="20">
        <v>0</v>
      </c>
      <c r="M169" s="20">
        <f t="shared" si="4"/>
        <v>160</v>
      </c>
      <c r="N169" s="20">
        <f t="shared" si="5"/>
        <v>160</v>
      </c>
      <c r="O169" s="19" t="s">
        <v>261</v>
      </c>
      <c r="P169" s="19" t="s">
        <v>223</v>
      </c>
      <c r="Q169" s="19" t="s">
        <v>228</v>
      </c>
    </row>
    <row r="170" spans="1:17" x14ac:dyDescent="0.25">
      <c r="A170" s="19" t="s">
        <v>406</v>
      </c>
      <c r="B170" s="19" t="s">
        <v>220</v>
      </c>
      <c r="C170" s="19" t="s">
        <v>96</v>
      </c>
      <c r="D170" s="29">
        <v>106</v>
      </c>
      <c r="E170" s="29">
        <v>2</v>
      </c>
      <c r="F170" s="19" t="s">
        <v>226</v>
      </c>
      <c r="G170" s="30" t="str">
        <f>VLOOKUP(C170,Guests!$A$2:$E$189,4,0)</f>
        <v>MKD</v>
      </c>
      <c r="H170" s="18">
        <v>45897</v>
      </c>
      <c r="I170" s="18">
        <v>45900</v>
      </c>
      <c r="J170" s="29">
        <v>3</v>
      </c>
      <c r="K170" s="20">
        <v>42</v>
      </c>
      <c r="L170" s="20">
        <v>0</v>
      </c>
      <c r="M170" s="20">
        <f t="shared" si="4"/>
        <v>126</v>
      </c>
      <c r="N170" s="20">
        <f t="shared" si="5"/>
        <v>126</v>
      </c>
      <c r="O170" s="19" t="s">
        <v>261</v>
      </c>
      <c r="P170" s="19" t="s">
        <v>223</v>
      </c>
      <c r="Q170" s="19" t="s">
        <v>228</v>
      </c>
    </row>
    <row r="171" spans="1:17" x14ac:dyDescent="0.25">
      <c r="A171" s="19" t="s">
        <v>407</v>
      </c>
      <c r="B171" s="19" t="s">
        <v>220</v>
      </c>
      <c r="C171" s="19" t="s">
        <v>154</v>
      </c>
      <c r="D171" s="29">
        <v>101</v>
      </c>
      <c r="E171" s="29">
        <v>3</v>
      </c>
      <c r="F171" s="19" t="s">
        <v>230</v>
      </c>
      <c r="G171" s="30" t="str">
        <f>VLOOKUP(C171,Guests!$A$2:$E$189,4,0)</f>
        <v>Greece</v>
      </c>
      <c r="H171" s="18">
        <v>45888</v>
      </c>
      <c r="I171" s="18">
        <v>45891</v>
      </c>
      <c r="J171" s="29">
        <v>3</v>
      </c>
      <c r="K171" s="20">
        <v>50</v>
      </c>
      <c r="L171" s="20">
        <v>0</v>
      </c>
      <c r="M171" s="20">
        <f t="shared" si="4"/>
        <v>150</v>
      </c>
      <c r="N171" s="20">
        <f t="shared" si="5"/>
        <v>150</v>
      </c>
      <c r="O171" s="19" t="s">
        <v>261</v>
      </c>
      <c r="P171" s="19" t="s">
        <v>223</v>
      </c>
      <c r="Q171" s="19" t="s">
        <v>228</v>
      </c>
    </row>
    <row r="172" spans="1:17" x14ac:dyDescent="0.25">
      <c r="A172" s="19" t="s">
        <v>408</v>
      </c>
      <c r="B172" s="19" t="s">
        <v>220</v>
      </c>
      <c r="C172" s="19" t="s">
        <v>155</v>
      </c>
      <c r="D172" s="29">
        <v>108</v>
      </c>
      <c r="E172" s="29">
        <v>2</v>
      </c>
      <c r="F172" s="19" t="s">
        <v>226</v>
      </c>
      <c r="G172" s="30" t="str">
        <f>VLOOKUP(C172,Guests!$A$2:$E$189,4,0)</f>
        <v>Greece</v>
      </c>
      <c r="H172" s="18">
        <v>45891</v>
      </c>
      <c r="I172" s="18">
        <v>45894</v>
      </c>
      <c r="J172" s="29">
        <v>3</v>
      </c>
      <c r="K172" s="20">
        <v>52</v>
      </c>
      <c r="L172" s="20">
        <v>0</v>
      </c>
      <c r="M172" s="20">
        <f t="shared" si="4"/>
        <v>156</v>
      </c>
      <c r="N172" s="20">
        <f t="shared" si="5"/>
        <v>156</v>
      </c>
      <c r="O172" s="19" t="s">
        <v>261</v>
      </c>
      <c r="P172" s="19" t="s">
        <v>223</v>
      </c>
      <c r="Q172" s="19" t="s">
        <v>228</v>
      </c>
    </row>
    <row r="173" spans="1:17" x14ac:dyDescent="0.25">
      <c r="A173" s="19" t="s">
        <v>409</v>
      </c>
      <c r="B173" s="19" t="s">
        <v>220</v>
      </c>
      <c r="C173" s="19" t="s">
        <v>196</v>
      </c>
      <c r="D173" s="29">
        <v>103</v>
      </c>
      <c r="E173" s="29">
        <v>2</v>
      </c>
      <c r="F173" s="19" t="s">
        <v>226</v>
      </c>
      <c r="G173" s="30" t="str">
        <f>VLOOKUP(C173,Guests!$A$2:$E$189,4,0)</f>
        <v>Greece</v>
      </c>
      <c r="H173" s="18">
        <v>45907</v>
      </c>
      <c r="I173" s="18">
        <v>45910</v>
      </c>
      <c r="J173" s="29">
        <v>3</v>
      </c>
      <c r="K173" s="20">
        <v>45</v>
      </c>
      <c r="L173" s="20">
        <v>50</v>
      </c>
      <c r="M173" s="20">
        <f t="shared" si="4"/>
        <v>85</v>
      </c>
      <c r="N173" s="20">
        <f t="shared" si="5"/>
        <v>135</v>
      </c>
      <c r="O173" s="19" t="s">
        <v>344</v>
      </c>
      <c r="P173" s="19" t="s">
        <v>223</v>
      </c>
      <c r="Q173" s="19" t="s">
        <v>228</v>
      </c>
    </row>
    <row r="174" spans="1:17" x14ac:dyDescent="0.25">
      <c r="A174" s="19" t="s">
        <v>410</v>
      </c>
      <c r="B174" s="19" t="s">
        <v>220</v>
      </c>
      <c r="C174" s="19" t="s">
        <v>156</v>
      </c>
      <c r="D174" s="29">
        <v>105</v>
      </c>
      <c r="E174" s="29">
        <v>2</v>
      </c>
      <c r="F174" s="19" t="s">
        <v>226</v>
      </c>
      <c r="G174" s="30" t="str">
        <f>VLOOKUP(C174,Guests!$A$2:$E$189,4,0)</f>
        <v>Greece</v>
      </c>
      <c r="H174" s="18">
        <v>45907</v>
      </c>
      <c r="I174" s="18">
        <v>45910</v>
      </c>
      <c r="J174" s="29">
        <v>3</v>
      </c>
      <c r="K174" s="20">
        <v>45</v>
      </c>
      <c r="L174" s="20">
        <v>0</v>
      </c>
      <c r="M174" s="20">
        <f t="shared" si="4"/>
        <v>135</v>
      </c>
      <c r="N174" s="20">
        <f t="shared" si="5"/>
        <v>135</v>
      </c>
      <c r="O174" s="19" t="s">
        <v>344</v>
      </c>
      <c r="P174" s="19" t="s">
        <v>223</v>
      </c>
      <c r="Q174" s="19" t="s">
        <v>228</v>
      </c>
    </row>
    <row r="175" spans="1:17" x14ac:dyDescent="0.25">
      <c r="A175" s="19" t="s">
        <v>411</v>
      </c>
      <c r="B175" s="19" t="s">
        <v>220</v>
      </c>
      <c r="C175" s="19" t="s">
        <v>164</v>
      </c>
      <c r="D175" s="29">
        <v>104</v>
      </c>
      <c r="E175" s="29">
        <v>2</v>
      </c>
      <c r="F175" s="19" t="s">
        <v>226</v>
      </c>
      <c r="G175" s="30" t="str">
        <f>VLOOKUP(C175,Guests!$A$2:$E$189,4,0)</f>
        <v>Serbia</v>
      </c>
      <c r="H175" s="18">
        <v>45886</v>
      </c>
      <c r="I175" s="18">
        <v>45895</v>
      </c>
      <c r="J175" s="29">
        <v>9</v>
      </c>
      <c r="K175" s="20">
        <v>47</v>
      </c>
      <c r="L175" s="20">
        <v>0</v>
      </c>
      <c r="M175" s="20">
        <f t="shared" si="4"/>
        <v>423</v>
      </c>
      <c r="N175" s="20">
        <f t="shared" si="5"/>
        <v>423</v>
      </c>
      <c r="O175" s="19" t="s">
        <v>261</v>
      </c>
      <c r="P175" s="19" t="s">
        <v>227</v>
      </c>
      <c r="Q175" s="19" t="s">
        <v>228</v>
      </c>
    </row>
    <row r="176" spans="1:17" x14ac:dyDescent="0.25">
      <c r="A176" s="19" t="s">
        <v>412</v>
      </c>
      <c r="B176" s="19" t="s">
        <v>220</v>
      </c>
      <c r="C176" s="19" t="s">
        <v>159</v>
      </c>
      <c r="D176" s="29">
        <v>1</v>
      </c>
      <c r="E176" s="29">
        <v>3</v>
      </c>
      <c r="F176" s="19" t="s">
        <v>230</v>
      </c>
      <c r="G176" s="30" t="str">
        <f>VLOOKUP(C176,Guests!$A$2:$E$189,4,0)</f>
        <v>Greece</v>
      </c>
      <c r="H176" s="18">
        <v>45886</v>
      </c>
      <c r="I176" s="18">
        <v>45887</v>
      </c>
      <c r="J176" s="29">
        <v>1</v>
      </c>
      <c r="K176" s="20">
        <v>55</v>
      </c>
      <c r="L176" s="20">
        <v>0</v>
      </c>
      <c r="M176" s="20">
        <f t="shared" si="4"/>
        <v>55</v>
      </c>
      <c r="N176" s="20">
        <f t="shared" si="5"/>
        <v>55</v>
      </c>
      <c r="O176" s="19" t="s">
        <v>261</v>
      </c>
      <c r="P176" s="19" t="s">
        <v>223</v>
      </c>
      <c r="Q176" s="19" t="s">
        <v>228</v>
      </c>
    </row>
    <row r="177" spans="1:17" x14ac:dyDescent="0.25">
      <c r="A177" s="19" t="s">
        <v>413</v>
      </c>
      <c r="B177" s="19" t="s">
        <v>220</v>
      </c>
      <c r="C177" s="19" t="s">
        <v>177</v>
      </c>
      <c r="D177" s="29">
        <v>108</v>
      </c>
      <c r="E177" s="29">
        <v>2</v>
      </c>
      <c r="F177" s="19" t="s">
        <v>226</v>
      </c>
      <c r="G177" s="30" t="str">
        <f>VLOOKUP(C177,Guests!$A$2:$E$189,4,0)</f>
        <v>MKD</v>
      </c>
      <c r="H177" s="18">
        <v>45895</v>
      </c>
      <c r="I177" s="18">
        <v>45899</v>
      </c>
      <c r="J177" s="29">
        <v>4</v>
      </c>
      <c r="K177" s="20">
        <v>47</v>
      </c>
      <c r="L177" s="20">
        <v>0</v>
      </c>
      <c r="M177" s="20">
        <f t="shared" si="4"/>
        <v>188</v>
      </c>
      <c r="N177" s="20">
        <f t="shared" si="5"/>
        <v>188</v>
      </c>
      <c r="O177" s="19" t="s">
        <v>261</v>
      </c>
      <c r="P177" s="19" t="s">
        <v>227</v>
      </c>
      <c r="Q177" s="19" t="s">
        <v>228</v>
      </c>
    </row>
    <row r="178" spans="1:17" x14ac:dyDescent="0.25">
      <c r="A178" s="19" t="s">
        <v>414</v>
      </c>
      <c r="B178" s="19" t="s">
        <v>220</v>
      </c>
      <c r="C178" s="19" t="s">
        <v>160</v>
      </c>
      <c r="D178" s="29">
        <v>107</v>
      </c>
      <c r="E178" s="29">
        <v>1</v>
      </c>
      <c r="F178" s="19" t="s">
        <v>221</v>
      </c>
      <c r="G178" s="30" t="str">
        <f>VLOOKUP(C178,Guests!$A$2:$E$189,4,0)</f>
        <v>Greece</v>
      </c>
      <c r="H178" s="18">
        <v>45889</v>
      </c>
      <c r="I178" s="18">
        <v>45893</v>
      </c>
      <c r="J178" s="29">
        <v>4</v>
      </c>
      <c r="K178" s="20">
        <v>47</v>
      </c>
      <c r="L178" s="20">
        <v>0</v>
      </c>
      <c r="M178" s="20">
        <f t="shared" si="4"/>
        <v>188</v>
      </c>
      <c r="N178" s="20">
        <f t="shared" si="5"/>
        <v>188</v>
      </c>
      <c r="O178" s="19" t="s">
        <v>261</v>
      </c>
      <c r="P178" s="19" t="s">
        <v>296</v>
      </c>
      <c r="Q178" s="19" t="s">
        <v>228</v>
      </c>
    </row>
    <row r="179" spans="1:17" x14ac:dyDescent="0.25">
      <c r="A179" s="19" t="s">
        <v>415</v>
      </c>
      <c r="B179" s="19" t="s">
        <v>220</v>
      </c>
      <c r="C179" s="19" t="s">
        <v>161</v>
      </c>
      <c r="D179" s="29">
        <v>108</v>
      </c>
      <c r="E179" s="29">
        <v>2</v>
      </c>
      <c r="F179" s="19" t="s">
        <v>226</v>
      </c>
      <c r="G179" s="30" t="str">
        <f>VLOOKUP(C179,Guests!$A$2:$E$189,4,0)</f>
        <v>Greece</v>
      </c>
      <c r="H179" s="18">
        <v>45899</v>
      </c>
      <c r="I179" s="18">
        <v>45904</v>
      </c>
      <c r="J179" s="29">
        <v>5</v>
      </c>
      <c r="K179" s="20">
        <v>45</v>
      </c>
      <c r="L179" s="20">
        <v>0</v>
      </c>
      <c r="M179" s="20">
        <f t="shared" si="4"/>
        <v>225</v>
      </c>
      <c r="N179" s="20">
        <f t="shared" si="5"/>
        <v>225</v>
      </c>
      <c r="O179" s="19" t="s">
        <v>261</v>
      </c>
      <c r="P179" s="19" t="s">
        <v>223</v>
      </c>
      <c r="Q179" s="19" t="s">
        <v>228</v>
      </c>
    </row>
    <row r="180" spans="1:17" x14ac:dyDescent="0.25">
      <c r="A180" s="19" t="s">
        <v>416</v>
      </c>
      <c r="B180" s="19" t="s">
        <v>220</v>
      </c>
      <c r="C180" s="19" t="s">
        <v>163</v>
      </c>
      <c r="D180" s="29">
        <v>105</v>
      </c>
      <c r="E180" s="29">
        <v>3</v>
      </c>
      <c r="F180" s="19" t="s">
        <v>230</v>
      </c>
      <c r="G180" s="30" t="str">
        <f>VLOOKUP(C180,Guests!$A$2:$E$189,4,0)</f>
        <v>Greece</v>
      </c>
      <c r="H180" s="18">
        <v>45890</v>
      </c>
      <c r="I180" s="18">
        <v>45893</v>
      </c>
      <c r="J180" s="29">
        <v>3</v>
      </c>
      <c r="K180" s="20">
        <v>50</v>
      </c>
      <c r="L180" s="20">
        <v>0</v>
      </c>
      <c r="M180" s="20">
        <f t="shared" si="4"/>
        <v>150</v>
      </c>
      <c r="N180" s="20">
        <f t="shared" si="5"/>
        <v>150</v>
      </c>
      <c r="O180" s="19" t="s">
        <v>261</v>
      </c>
      <c r="P180" s="19" t="s">
        <v>223</v>
      </c>
      <c r="Q180" s="19" t="s">
        <v>224</v>
      </c>
    </row>
    <row r="181" spans="1:17" x14ac:dyDescent="0.25">
      <c r="A181" s="19" t="s">
        <v>417</v>
      </c>
      <c r="B181" s="19" t="s">
        <v>220</v>
      </c>
      <c r="C181" s="19" t="s">
        <v>165</v>
      </c>
      <c r="D181" s="29">
        <v>101</v>
      </c>
      <c r="E181" s="29">
        <v>4</v>
      </c>
      <c r="F181" s="19" t="s">
        <v>230</v>
      </c>
      <c r="G181" s="30" t="str">
        <f>VLOOKUP(C181,Guests!$A$2:$E$189,4,0)</f>
        <v>Albania</v>
      </c>
      <c r="H181" s="18">
        <v>45891</v>
      </c>
      <c r="I181" s="18">
        <v>45896</v>
      </c>
      <c r="J181" s="29">
        <v>5</v>
      </c>
      <c r="K181" s="20">
        <v>50</v>
      </c>
      <c r="L181" s="20">
        <v>0</v>
      </c>
      <c r="M181" s="20">
        <f t="shared" si="4"/>
        <v>250</v>
      </c>
      <c r="N181" s="20">
        <f t="shared" si="5"/>
        <v>250</v>
      </c>
      <c r="O181" s="19" t="s">
        <v>261</v>
      </c>
      <c r="P181" s="19" t="s">
        <v>223</v>
      </c>
      <c r="Q181" s="19" t="s">
        <v>224</v>
      </c>
    </row>
    <row r="182" spans="1:17" x14ac:dyDescent="0.25">
      <c r="A182" s="19" t="s">
        <v>418</v>
      </c>
      <c r="B182" s="19" t="s">
        <v>220</v>
      </c>
      <c r="C182" s="19" t="s">
        <v>166</v>
      </c>
      <c r="D182" s="29">
        <v>7</v>
      </c>
      <c r="E182" s="29">
        <v>2</v>
      </c>
      <c r="F182" s="19" t="s">
        <v>226</v>
      </c>
      <c r="G182" s="30" t="str">
        <f>VLOOKUP(C182,Guests!$A$2:$E$189,4,0)</f>
        <v>Greece</v>
      </c>
      <c r="H182" s="18">
        <v>45890</v>
      </c>
      <c r="I182" s="18">
        <v>45894</v>
      </c>
      <c r="J182" s="29">
        <v>4</v>
      </c>
      <c r="K182" s="20">
        <v>47</v>
      </c>
      <c r="L182" s="20">
        <v>0</v>
      </c>
      <c r="M182" s="20">
        <f t="shared" si="4"/>
        <v>188</v>
      </c>
      <c r="N182" s="20">
        <f t="shared" si="5"/>
        <v>188</v>
      </c>
      <c r="O182" s="19" t="s">
        <v>261</v>
      </c>
      <c r="P182" s="19" t="s">
        <v>223</v>
      </c>
      <c r="Q182" s="19" t="s">
        <v>224</v>
      </c>
    </row>
    <row r="183" spans="1:17" x14ac:dyDescent="0.25">
      <c r="A183" s="19" t="s">
        <v>419</v>
      </c>
      <c r="B183" s="19" t="s">
        <v>220</v>
      </c>
      <c r="C183" s="19" t="s">
        <v>123</v>
      </c>
      <c r="D183" s="29">
        <v>105</v>
      </c>
      <c r="E183" s="29">
        <v>1</v>
      </c>
      <c r="F183" s="19" t="s">
        <v>221</v>
      </c>
      <c r="G183" s="30" t="str">
        <f>VLOOKUP(C183,Guests!$A$2:$E$189,4,0)</f>
        <v>Greece</v>
      </c>
      <c r="H183" s="18">
        <v>45896</v>
      </c>
      <c r="I183" s="18">
        <v>45897</v>
      </c>
      <c r="J183" s="29">
        <v>1</v>
      </c>
      <c r="K183" s="20">
        <v>40</v>
      </c>
      <c r="L183" s="20">
        <v>0</v>
      </c>
      <c r="M183" s="20">
        <f t="shared" si="4"/>
        <v>40</v>
      </c>
      <c r="N183" s="20">
        <f t="shared" si="5"/>
        <v>40</v>
      </c>
      <c r="O183" s="19" t="s">
        <v>261</v>
      </c>
      <c r="P183" s="19" t="s">
        <v>223</v>
      </c>
      <c r="Q183" s="19" t="s">
        <v>224</v>
      </c>
    </row>
    <row r="184" spans="1:17" x14ac:dyDescent="0.25">
      <c r="A184" s="19" t="s">
        <v>420</v>
      </c>
      <c r="B184" s="19" t="s">
        <v>220</v>
      </c>
      <c r="C184" s="19" t="s">
        <v>180</v>
      </c>
      <c r="D184" s="29">
        <v>1</v>
      </c>
      <c r="E184" s="29">
        <v>4</v>
      </c>
      <c r="F184" s="19" t="s">
        <v>230</v>
      </c>
      <c r="G184" s="30" t="str">
        <f>VLOOKUP(C184,Guests!$A$2:$E$189,4,0)</f>
        <v>MKD</v>
      </c>
      <c r="H184" s="18">
        <v>45897</v>
      </c>
      <c r="I184" s="18">
        <v>45900</v>
      </c>
      <c r="J184" s="29">
        <v>3</v>
      </c>
      <c r="K184" s="20">
        <v>50</v>
      </c>
      <c r="L184" s="20">
        <v>0</v>
      </c>
      <c r="M184" s="20">
        <f t="shared" si="4"/>
        <v>150</v>
      </c>
      <c r="N184" s="20">
        <f t="shared" si="5"/>
        <v>150</v>
      </c>
      <c r="O184" s="19" t="s">
        <v>261</v>
      </c>
      <c r="P184" s="19" t="s">
        <v>296</v>
      </c>
      <c r="Q184" s="19" t="s">
        <v>224</v>
      </c>
    </row>
    <row r="185" spans="1:17" x14ac:dyDescent="0.25">
      <c r="A185" s="19" t="s">
        <v>421</v>
      </c>
      <c r="B185" s="19" t="s">
        <v>220</v>
      </c>
      <c r="C185" s="19" t="s">
        <v>168</v>
      </c>
      <c r="D185" s="29">
        <v>106</v>
      </c>
      <c r="E185" s="29">
        <v>2</v>
      </c>
      <c r="F185" s="19" t="s">
        <v>226</v>
      </c>
      <c r="G185" s="30" t="str">
        <f>VLOOKUP(C185,Guests!$A$2:$E$189,4,0)</f>
        <v>MKD</v>
      </c>
      <c r="H185" s="18">
        <v>45891</v>
      </c>
      <c r="I185" s="18">
        <v>45893</v>
      </c>
      <c r="J185" s="29">
        <v>2</v>
      </c>
      <c r="K185" s="20">
        <v>50</v>
      </c>
      <c r="L185" s="20">
        <v>0</v>
      </c>
      <c r="M185" s="20">
        <f t="shared" si="4"/>
        <v>100</v>
      </c>
      <c r="N185" s="20">
        <f t="shared" si="5"/>
        <v>100</v>
      </c>
      <c r="O185" s="19" t="s">
        <v>261</v>
      </c>
      <c r="P185" s="19" t="s">
        <v>296</v>
      </c>
      <c r="Q185" s="19" t="s">
        <v>228</v>
      </c>
    </row>
    <row r="186" spans="1:17" x14ac:dyDescent="0.25">
      <c r="A186" s="19" t="s">
        <v>422</v>
      </c>
      <c r="B186" s="19" t="s">
        <v>220</v>
      </c>
      <c r="C186" s="19" t="s">
        <v>169</v>
      </c>
      <c r="D186" s="29">
        <v>102</v>
      </c>
      <c r="E186" s="29">
        <v>2</v>
      </c>
      <c r="F186" s="19" t="s">
        <v>226</v>
      </c>
      <c r="G186" s="30" t="str">
        <f>VLOOKUP(C186,Guests!$A$2:$E$189,4,0)</f>
        <v>Greece</v>
      </c>
      <c r="H186" s="18">
        <v>45891</v>
      </c>
      <c r="I186" s="18">
        <v>45893</v>
      </c>
      <c r="J186" s="29">
        <v>2</v>
      </c>
      <c r="K186" s="20">
        <v>50</v>
      </c>
      <c r="L186" s="20">
        <v>0</v>
      </c>
      <c r="M186" s="20">
        <f t="shared" si="4"/>
        <v>100</v>
      </c>
      <c r="N186" s="20">
        <f t="shared" si="5"/>
        <v>100</v>
      </c>
      <c r="O186" s="19" t="s">
        <v>261</v>
      </c>
      <c r="P186" s="19" t="s">
        <v>296</v>
      </c>
      <c r="Q186" s="19" t="s">
        <v>224</v>
      </c>
    </row>
    <row r="187" spans="1:17" x14ac:dyDescent="0.25">
      <c r="A187" s="19" t="s">
        <v>423</v>
      </c>
      <c r="B187" s="19" t="s">
        <v>309</v>
      </c>
      <c r="C187" s="19" t="s">
        <v>170</v>
      </c>
      <c r="D187" s="29">
        <v>106</v>
      </c>
      <c r="E187" s="29">
        <v>2</v>
      </c>
      <c r="F187" s="19" t="s">
        <v>226</v>
      </c>
      <c r="G187" s="30" t="str">
        <f>VLOOKUP(C187,Guests!$A$2:$E$189,4,0)</f>
        <v>Greece</v>
      </c>
      <c r="H187" s="18">
        <v>45901</v>
      </c>
      <c r="I187" s="18">
        <v>45904</v>
      </c>
      <c r="J187" s="29">
        <v>3</v>
      </c>
      <c r="K187" s="20">
        <v>47</v>
      </c>
      <c r="L187" s="20">
        <v>0</v>
      </c>
      <c r="M187" s="20">
        <f t="shared" si="4"/>
        <v>141</v>
      </c>
      <c r="N187" s="20">
        <f t="shared" si="5"/>
        <v>141</v>
      </c>
      <c r="O187" s="19" t="s">
        <v>344</v>
      </c>
      <c r="P187" s="19" t="s">
        <v>223</v>
      </c>
      <c r="Q187" s="19" t="s">
        <v>228</v>
      </c>
    </row>
    <row r="188" spans="1:17" x14ac:dyDescent="0.25">
      <c r="A188" s="19" t="s">
        <v>424</v>
      </c>
      <c r="B188" s="19" t="s">
        <v>220</v>
      </c>
      <c r="C188" s="19" t="s">
        <v>171</v>
      </c>
      <c r="D188" s="29">
        <v>105</v>
      </c>
      <c r="E188" s="29">
        <v>3</v>
      </c>
      <c r="F188" s="19" t="s">
        <v>230</v>
      </c>
      <c r="G188" s="30" t="str">
        <f>VLOOKUP(C188,Guests!$A$2:$E$189,4,0)</f>
        <v>Greece</v>
      </c>
      <c r="H188" s="18">
        <v>45897</v>
      </c>
      <c r="I188" s="18">
        <v>45900</v>
      </c>
      <c r="J188" s="29">
        <v>3</v>
      </c>
      <c r="K188" s="20">
        <v>52</v>
      </c>
      <c r="L188" s="20">
        <v>0</v>
      </c>
      <c r="M188" s="20">
        <f t="shared" si="4"/>
        <v>156</v>
      </c>
      <c r="N188" s="20">
        <f t="shared" si="5"/>
        <v>156</v>
      </c>
      <c r="O188" s="19" t="s">
        <v>261</v>
      </c>
      <c r="P188" s="19" t="s">
        <v>223</v>
      </c>
      <c r="Q188" s="19" t="s">
        <v>228</v>
      </c>
    </row>
    <row r="189" spans="1:17" x14ac:dyDescent="0.25">
      <c r="A189" s="19" t="s">
        <v>425</v>
      </c>
      <c r="B189" s="19" t="s">
        <v>220</v>
      </c>
      <c r="C189" s="19" t="s">
        <v>178</v>
      </c>
      <c r="D189" s="29">
        <v>103</v>
      </c>
      <c r="E189" s="29">
        <v>4</v>
      </c>
      <c r="F189" s="19" t="s">
        <v>230</v>
      </c>
      <c r="G189" s="30" t="str">
        <f>VLOOKUP(C189,Guests!$A$2:$E$189,4,0)</f>
        <v>MKD</v>
      </c>
      <c r="H189" s="18">
        <v>45896</v>
      </c>
      <c r="I189" s="18">
        <v>45898</v>
      </c>
      <c r="J189" s="29">
        <v>2</v>
      </c>
      <c r="K189" s="20">
        <v>55</v>
      </c>
      <c r="L189" s="20">
        <v>0</v>
      </c>
      <c r="M189" s="20">
        <f t="shared" si="4"/>
        <v>110</v>
      </c>
      <c r="N189" s="20">
        <f t="shared" si="5"/>
        <v>110</v>
      </c>
      <c r="O189" s="19" t="s">
        <v>261</v>
      </c>
      <c r="P189" s="19" t="s">
        <v>223</v>
      </c>
      <c r="Q189" s="19" t="s">
        <v>228</v>
      </c>
    </row>
    <row r="190" spans="1:17" x14ac:dyDescent="0.25">
      <c r="A190" s="19" t="s">
        <v>426</v>
      </c>
      <c r="B190" s="19" t="s">
        <v>220</v>
      </c>
      <c r="C190" s="19" t="s">
        <v>172</v>
      </c>
      <c r="D190" s="29">
        <v>8</v>
      </c>
      <c r="E190" s="29">
        <v>3</v>
      </c>
      <c r="F190" s="19" t="s">
        <v>230</v>
      </c>
      <c r="G190" s="30" t="str">
        <f>VLOOKUP(C190,Guests!$A$2:$E$189,4,0)</f>
        <v>Greece</v>
      </c>
      <c r="H190" s="18">
        <v>45893</v>
      </c>
      <c r="I190" s="18">
        <v>45899</v>
      </c>
      <c r="J190" s="29">
        <v>6</v>
      </c>
      <c r="K190" s="20">
        <v>50</v>
      </c>
      <c r="L190" s="20">
        <v>0</v>
      </c>
      <c r="M190" s="20">
        <f t="shared" si="4"/>
        <v>300</v>
      </c>
      <c r="N190" s="20">
        <f t="shared" si="5"/>
        <v>300</v>
      </c>
      <c r="O190" s="19" t="s">
        <v>261</v>
      </c>
      <c r="P190" s="19" t="s">
        <v>223</v>
      </c>
      <c r="Q190" s="19" t="s">
        <v>228</v>
      </c>
    </row>
    <row r="191" spans="1:17" x14ac:dyDescent="0.25">
      <c r="A191" s="19" t="s">
        <v>427</v>
      </c>
      <c r="B191" s="19" t="s">
        <v>220</v>
      </c>
      <c r="C191" s="19" t="s">
        <v>78</v>
      </c>
      <c r="D191" s="29">
        <v>5</v>
      </c>
      <c r="E191" s="29">
        <v>4</v>
      </c>
      <c r="F191" s="19" t="s">
        <v>230</v>
      </c>
      <c r="G191" s="30" t="str">
        <f>VLOOKUP(C191,Guests!$A$2:$E$189,4,0)</f>
        <v>Serbia</v>
      </c>
      <c r="H191" s="18">
        <v>45910</v>
      </c>
      <c r="I191" s="18">
        <v>45917</v>
      </c>
      <c r="J191" s="29">
        <v>7</v>
      </c>
      <c r="K191" s="20">
        <v>50</v>
      </c>
      <c r="L191" s="20">
        <v>0</v>
      </c>
      <c r="M191" s="20">
        <f t="shared" si="4"/>
        <v>350</v>
      </c>
      <c r="N191" s="20">
        <f t="shared" si="5"/>
        <v>350</v>
      </c>
      <c r="O191" s="19" t="s">
        <v>344</v>
      </c>
      <c r="P191" s="19" t="s">
        <v>227</v>
      </c>
      <c r="Q191" s="19" t="s">
        <v>259</v>
      </c>
    </row>
    <row r="192" spans="1:17" x14ac:dyDescent="0.25">
      <c r="A192" s="19" t="s">
        <v>428</v>
      </c>
      <c r="B192" s="19" t="s">
        <v>220</v>
      </c>
      <c r="C192" s="19" t="s">
        <v>167</v>
      </c>
      <c r="D192" s="29">
        <v>106</v>
      </c>
      <c r="E192" s="29">
        <v>3</v>
      </c>
      <c r="F192" s="19" t="s">
        <v>230</v>
      </c>
      <c r="G192" s="30" t="str">
        <f>VLOOKUP(C192,Guests!$A$2:$E$189,4,0)</f>
        <v>Serbia</v>
      </c>
      <c r="H192" s="18">
        <v>45894</v>
      </c>
      <c r="I192" s="18">
        <v>45897</v>
      </c>
      <c r="J192" s="29">
        <v>3</v>
      </c>
      <c r="K192" s="20">
        <v>55</v>
      </c>
      <c r="L192" s="20">
        <v>0</v>
      </c>
      <c r="M192" s="20">
        <f t="shared" si="4"/>
        <v>165</v>
      </c>
      <c r="N192" s="20">
        <f t="shared" si="5"/>
        <v>165</v>
      </c>
      <c r="O192" s="19" t="s">
        <v>261</v>
      </c>
      <c r="P192" s="19" t="s">
        <v>235</v>
      </c>
      <c r="Q192" s="19" t="s">
        <v>228</v>
      </c>
    </row>
    <row r="193" spans="1:17" x14ac:dyDescent="0.25">
      <c r="A193" s="19" t="s">
        <v>429</v>
      </c>
      <c r="B193" s="19" t="s">
        <v>220</v>
      </c>
      <c r="C193" s="19" t="s">
        <v>123</v>
      </c>
      <c r="D193" s="29">
        <v>107</v>
      </c>
      <c r="E193" s="29">
        <v>4</v>
      </c>
      <c r="F193" s="19" t="s">
        <v>230</v>
      </c>
      <c r="G193" s="30" t="str">
        <f>VLOOKUP(C193,Guests!$A$2:$E$189,4,0)</f>
        <v>Greece</v>
      </c>
      <c r="H193" s="18">
        <v>45893</v>
      </c>
      <c r="I193" s="18">
        <v>45899</v>
      </c>
      <c r="J193" s="29">
        <v>6</v>
      </c>
      <c r="K193" s="20">
        <v>57</v>
      </c>
      <c r="L193" s="20">
        <v>0</v>
      </c>
      <c r="M193" s="20">
        <f t="shared" si="4"/>
        <v>342</v>
      </c>
      <c r="N193" s="20">
        <f t="shared" si="5"/>
        <v>342</v>
      </c>
      <c r="O193" s="19" t="s">
        <v>261</v>
      </c>
      <c r="P193" s="19" t="s">
        <v>223</v>
      </c>
      <c r="Q193" s="19" t="s">
        <v>259</v>
      </c>
    </row>
    <row r="194" spans="1:17" x14ac:dyDescent="0.25">
      <c r="A194" s="19" t="s">
        <v>430</v>
      </c>
      <c r="B194" s="19" t="s">
        <v>220</v>
      </c>
      <c r="C194" s="19" t="s">
        <v>174</v>
      </c>
      <c r="D194" s="29">
        <v>103</v>
      </c>
      <c r="E194" s="29">
        <v>2</v>
      </c>
      <c r="F194" s="19" t="s">
        <v>226</v>
      </c>
      <c r="G194" s="30" t="str">
        <f>VLOOKUP(C194,Guests!$A$2:$E$189,4,0)</f>
        <v>Greece</v>
      </c>
      <c r="H194" s="18">
        <v>45893</v>
      </c>
      <c r="I194" s="18">
        <v>45894</v>
      </c>
      <c r="J194" s="29">
        <v>1</v>
      </c>
      <c r="K194" s="20">
        <v>50</v>
      </c>
      <c r="L194" s="20">
        <v>0</v>
      </c>
      <c r="M194" s="20">
        <f t="shared" ref="M194:M222" si="6">N194-L194</f>
        <v>50</v>
      </c>
      <c r="N194" s="20">
        <f t="shared" ref="N194:N222" si="7">J194*K194</f>
        <v>50</v>
      </c>
      <c r="O194" s="19" t="s">
        <v>261</v>
      </c>
      <c r="P194" s="19" t="s">
        <v>223</v>
      </c>
      <c r="Q194" s="19" t="s">
        <v>228</v>
      </c>
    </row>
    <row r="195" spans="1:17" x14ac:dyDescent="0.25">
      <c r="A195" s="19" t="s">
        <v>431</v>
      </c>
      <c r="B195" s="19" t="s">
        <v>220</v>
      </c>
      <c r="C195" s="19" t="s">
        <v>54</v>
      </c>
      <c r="D195" s="29">
        <v>8</v>
      </c>
      <c r="E195" s="29">
        <v>2</v>
      </c>
      <c r="F195" s="19" t="s">
        <v>226</v>
      </c>
      <c r="G195" s="30" t="str">
        <f>VLOOKUP(C195,Guests!$A$2:$E$189,4,0)</f>
        <v>Greece</v>
      </c>
      <c r="H195" s="18">
        <v>45892</v>
      </c>
      <c r="I195" s="18">
        <v>45893</v>
      </c>
      <c r="J195" s="29">
        <v>1</v>
      </c>
      <c r="K195" s="20">
        <v>50</v>
      </c>
      <c r="L195" s="20">
        <v>0</v>
      </c>
      <c r="M195" s="20">
        <f t="shared" si="6"/>
        <v>50</v>
      </c>
      <c r="N195" s="20">
        <f t="shared" si="7"/>
        <v>50</v>
      </c>
      <c r="O195" s="19" t="s">
        <v>261</v>
      </c>
      <c r="P195" s="19" t="s">
        <v>223</v>
      </c>
      <c r="Q195" s="19" t="s">
        <v>224</v>
      </c>
    </row>
    <row r="196" spans="1:17" x14ac:dyDescent="0.25">
      <c r="A196" s="19" t="s">
        <v>432</v>
      </c>
      <c r="B196" s="19" t="s">
        <v>220</v>
      </c>
      <c r="C196" s="19" t="s">
        <v>175</v>
      </c>
      <c r="D196" s="29">
        <v>105</v>
      </c>
      <c r="E196" s="29">
        <v>4</v>
      </c>
      <c r="F196" s="19" t="s">
        <v>230</v>
      </c>
      <c r="G196" s="30" t="str">
        <f>VLOOKUP(C196,Guests!$A$2:$E$189,4,0)</f>
        <v>Greece</v>
      </c>
      <c r="H196" s="18">
        <v>45893</v>
      </c>
      <c r="I196" s="18">
        <v>45895</v>
      </c>
      <c r="J196" s="29">
        <v>2</v>
      </c>
      <c r="K196" s="20">
        <v>50</v>
      </c>
      <c r="L196" s="20">
        <v>0</v>
      </c>
      <c r="M196" s="20">
        <f t="shared" si="6"/>
        <v>100</v>
      </c>
      <c r="N196" s="20">
        <f t="shared" si="7"/>
        <v>100</v>
      </c>
      <c r="O196" s="19" t="s">
        <v>261</v>
      </c>
      <c r="P196" s="19" t="s">
        <v>223</v>
      </c>
      <c r="Q196" s="19" t="s">
        <v>228</v>
      </c>
    </row>
    <row r="197" spans="1:17" x14ac:dyDescent="0.25">
      <c r="A197" s="19" t="s">
        <v>433</v>
      </c>
      <c r="B197" s="19" t="s">
        <v>220</v>
      </c>
      <c r="C197" s="19" t="s">
        <v>176</v>
      </c>
      <c r="D197" s="29">
        <v>102</v>
      </c>
      <c r="E197" s="29">
        <v>3</v>
      </c>
      <c r="F197" s="19" t="s">
        <v>230</v>
      </c>
      <c r="G197" s="30" t="str">
        <f>VLOOKUP(C197,Guests!$A$2:$E$189,4,0)</f>
        <v>MKD</v>
      </c>
      <c r="H197" s="18">
        <v>45893</v>
      </c>
      <c r="I197" s="18">
        <v>45900</v>
      </c>
      <c r="J197" s="29">
        <v>7</v>
      </c>
      <c r="K197" s="20">
        <v>50</v>
      </c>
      <c r="L197" s="20">
        <v>0</v>
      </c>
      <c r="M197" s="20">
        <f t="shared" si="6"/>
        <v>350</v>
      </c>
      <c r="N197" s="20">
        <f t="shared" si="7"/>
        <v>350</v>
      </c>
      <c r="O197" s="19" t="s">
        <v>261</v>
      </c>
      <c r="P197" s="19" t="s">
        <v>296</v>
      </c>
      <c r="Q197" s="19" t="s">
        <v>228</v>
      </c>
    </row>
    <row r="198" spans="1:17" x14ac:dyDescent="0.25">
      <c r="A198" s="19" t="s">
        <v>434</v>
      </c>
      <c r="B198" s="19" t="s">
        <v>309</v>
      </c>
      <c r="C198" s="19" t="s">
        <v>179</v>
      </c>
      <c r="D198" s="29">
        <v>2</v>
      </c>
      <c r="E198" s="29">
        <v>2</v>
      </c>
      <c r="F198" s="19" t="s">
        <v>226</v>
      </c>
      <c r="G198" s="30" t="str">
        <f>VLOOKUP(C198,Guests!$A$2:$E$189,4,0)</f>
        <v>Serbia</v>
      </c>
      <c r="H198" s="18">
        <v>45906</v>
      </c>
      <c r="I198" s="18">
        <v>45908</v>
      </c>
      <c r="J198" s="29">
        <v>2</v>
      </c>
      <c r="K198" s="20">
        <v>42</v>
      </c>
      <c r="L198" s="20">
        <v>0</v>
      </c>
      <c r="M198" s="20">
        <f t="shared" si="6"/>
        <v>84</v>
      </c>
      <c r="N198" s="20">
        <f t="shared" si="7"/>
        <v>84</v>
      </c>
      <c r="O198" s="19" t="s">
        <v>344</v>
      </c>
      <c r="P198" s="19" t="s">
        <v>227</v>
      </c>
      <c r="Q198" s="19" t="s">
        <v>259</v>
      </c>
    </row>
    <row r="199" spans="1:17" x14ac:dyDescent="0.25">
      <c r="A199" s="19" t="s">
        <v>435</v>
      </c>
      <c r="B199" s="19" t="s">
        <v>220</v>
      </c>
      <c r="C199" s="19" t="s">
        <v>181</v>
      </c>
      <c r="D199" s="29">
        <v>101</v>
      </c>
      <c r="E199" s="29">
        <v>2</v>
      </c>
      <c r="F199" s="19" t="s">
        <v>226</v>
      </c>
      <c r="G199" s="30" t="str">
        <f>VLOOKUP(C199,Guests!$A$2:$E$189,4,0)</f>
        <v>Greece</v>
      </c>
      <c r="H199" s="18">
        <v>45897</v>
      </c>
      <c r="I199" s="18">
        <v>45899</v>
      </c>
      <c r="J199" s="29">
        <v>2</v>
      </c>
      <c r="K199" s="20">
        <v>45</v>
      </c>
      <c r="L199" s="20">
        <v>0</v>
      </c>
      <c r="M199" s="20">
        <f t="shared" si="6"/>
        <v>90</v>
      </c>
      <c r="N199" s="20">
        <f t="shared" si="7"/>
        <v>90</v>
      </c>
      <c r="O199" s="19" t="s">
        <v>261</v>
      </c>
      <c r="P199" s="19" t="s">
        <v>223</v>
      </c>
      <c r="Q199" s="19" t="s">
        <v>228</v>
      </c>
    </row>
    <row r="200" spans="1:17" x14ac:dyDescent="0.25">
      <c r="A200" s="19" t="s">
        <v>436</v>
      </c>
      <c r="B200" s="19" t="s">
        <v>220</v>
      </c>
      <c r="C200" s="19" t="s">
        <v>182</v>
      </c>
      <c r="D200" s="29">
        <v>2</v>
      </c>
      <c r="E200" s="29">
        <v>3</v>
      </c>
      <c r="F200" s="19" t="s">
        <v>230</v>
      </c>
      <c r="G200" s="30" t="str">
        <f>VLOOKUP(C200,Guests!$A$2:$E$189,4,0)</f>
        <v>Greece</v>
      </c>
      <c r="H200" s="18">
        <v>45897</v>
      </c>
      <c r="I200" s="18">
        <v>45898</v>
      </c>
      <c r="J200" s="29">
        <v>1</v>
      </c>
      <c r="K200" s="20">
        <v>47</v>
      </c>
      <c r="L200" s="20">
        <v>0</v>
      </c>
      <c r="M200" s="20">
        <f t="shared" si="6"/>
        <v>47</v>
      </c>
      <c r="N200" s="20">
        <f t="shared" si="7"/>
        <v>47</v>
      </c>
      <c r="O200" s="19" t="s">
        <v>261</v>
      </c>
      <c r="P200" s="19" t="s">
        <v>296</v>
      </c>
      <c r="Q200" s="19" t="s">
        <v>259</v>
      </c>
    </row>
    <row r="201" spans="1:17" x14ac:dyDescent="0.25">
      <c r="A201" s="19" t="s">
        <v>437</v>
      </c>
      <c r="B201" s="19" t="s">
        <v>220</v>
      </c>
      <c r="C201" s="19" t="s">
        <v>184</v>
      </c>
      <c r="D201" s="29">
        <v>103</v>
      </c>
      <c r="E201" s="29">
        <v>3</v>
      </c>
      <c r="F201" s="19" t="s">
        <v>230</v>
      </c>
      <c r="G201" s="30" t="str">
        <f>VLOOKUP(C201,Guests!$A$2:$E$189,4,0)</f>
        <v>MKD</v>
      </c>
      <c r="H201" s="18">
        <v>45898</v>
      </c>
      <c r="I201" s="18">
        <v>45900</v>
      </c>
      <c r="J201" s="29">
        <v>2</v>
      </c>
      <c r="K201" s="20">
        <v>50</v>
      </c>
      <c r="L201" s="20">
        <v>0</v>
      </c>
      <c r="M201" s="20">
        <f t="shared" si="6"/>
        <v>100</v>
      </c>
      <c r="N201" s="20">
        <f t="shared" si="7"/>
        <v>100</v>
      </c>
      <c r="O201" s="19" t="s">
        <v>261</v>
      </c>
      <c r="P201" s="19" t="s">
        <v>296</v>
      </c>
      <c r="Q201" s="19" t="s">
        <v>228</v>
      </c>
    </row>
    <row r="202" spans="1:17" x14ac:dyDescent="0.25">
      <c r="A202" s="19" t="s">
        <v>438</v>
      </c>
      <c r="B202" s="19" t="s">
        <v>220</v>
      </c>
      <c r="C202" s="19" t="s">
        <v>185</v>
      </c>
      <c r="D202" s="29">
        <v>2</v>
      </c>
      <c r="E202" s="29">
        <v>2</v>
      </c>
      <c r="F202" s="19" t="s">
        <v>226</v>
      </c>
      <c r="G202" s="30" t="str">
        <f>VLOOKUP(C202,Guests!$A$2:$E$189,4,0)</f>
        <v>Serbia</v>
      </c>
      <c r="H202" s="18">
        <v>45898</v>
      </c>
      <c r="I202" s="18">
        <v>45904</v>
      </c>
      <c r="J202" s="29">
        <v>6</v>
      </c>
      <c r="K202" s="20">
        <v>40</v>
      </c>
      <c r="L202" s="20">
        <v>0</v>
      </c>
      <c r="M202" s="20">
        <f t="shared" si="6"/>
        <v>240</v>
      </c>
      <c r="N202" s="20">
        <f t="shared" si="7"/>
        <v>240</v>
      </c>
      <c r="O202" s="19" t="s">
        <v>261</v>
      </c>
      <c r="P202" s="19" t="s">
        <v>296</v>
      </c>
      <c r="Q202" s="19" t="s">
        <v>224</v>
      </c>
    </row>
    <row r="203" spans="1:17" x14ac:dyDescent="0.25">
      <c r="A203" s="19" t="s">
        <v>439</v>
      </c>
      <c r="B203" s="19" t="s">
        <v>220</v>
      </c>
      <c r="C203" s="19" t="s">
        <v>101</v>
      </c>
      <c r="D203" s="29">
        <v>102</v>
      </c>
      <c r="E203" s="29">
        <v>2</v>
      </c>
      <c r="F203" s="19" t="s">
        <v>226</v>
      </c>
      <c r="G203" s="30" t="str">
        <f>VLOOKUP(C203,Guests!$A$2:$E$189,4,0)</f>
        <v>Belgium</v>
      </c>
      <c r="H203" s="18">
        <v>45906</v>
      </c>
      <c r="I203" s="18">
        <v>45915</v>
      </c>
      <c r="J203" s="29">
        <v>9</v>
      </c>
      <c r="K203" s="20">
        <v>35</v>
      </c>
      <c r="L203" s="20">
        <v>0</v>
      </c>
      <c r="M203" s="20">
        <f t="shared" si="6"/>
        <v>315</v>
      </c>
      <c r="N203" s="20">
        <f t="shared" si="7"/>
        <v>315</v>
      </c>
      <c r="O203" s="19" t="s">
        <v>344</v>
      </c>
      <c r="P203" s="19" t="s">
        <v>223</v>
      </c>
      <c r="Q203" s="19" t="s">
        <v>228</v>
      </c>
    </row>
    <row r="204" spans="1:17" x14ac:dyDescent="0.25">
      <c r="A204" s="19" t="s">
        <v>440</v>
      </c>
      <c r="B204" s="19" t="s">
        <v>220</v>
      </c>
      <c r="C204" s="19" t="s">
        <v>101</v>
      </c>
      <c r="D204" s="29">
        <v>104</v>
      </c>
      <c r="E204" s="29">
        <v>2</v>
      </c>
      <c r="F204" s="19" t="s">
        <v>226</v>
      </c>
      <c r="G204" s="30" t="str">
        <f>VLOOKUP(C204,Guests!$A$2:$E$189,4,0)</f>
        <v>Belgium</v>
      </c>
      <c r="H204" s="18">
        <v>45906</v>
      </c>
      <c r="I204" s="18">
        <v>45915</v>
      </c>
      <c r="J204" s="29">
        <v>9</v>
      </c>
      <c r="K204" s="20">
        <v>35</v>
      </c>
      <c r="L204" s="20">
        <v>0</v>
      </c>
      <c r="M204" s="20">
        <f t="shared" si="6"/>
        <v>315</v>
      </c>
      <c r="N204" s="20">
        <f t="shared" si="7"/>
        <v>315</v>
      </c>
      <c r="O204" s="19" t="s">
        <v>344</v>
      </c>
      <c r="P204" s="19" t="s">
        <v>223</v>
      </c>
      <c r="Q204" s="19" t="s">
        <v>228</v>
      </c>
    </row>
    <row r="205" spans="1:17" x14ac:dyDescent="0.25">
      <c r="A205" s="19" t="s">
        <v>441</v>
      </c>
      <c r="B205" s="19" t="s">
        <v>220</v>
      </c>
      <c r="C205" s="19" t="s">
        <v>186</v>
      </c>
      <c r="D205" s="29">
        <v>107</v>
      </c>
      <c r="E205" s="29">
        <v>3</v>
      </c>
      <c r="F205" s="19" t="s">
        <v>230</v>
      </c>
      <c r="G205" s="30" t="str">
        <f>VLOOKUP(C205,Guests!$A$2:$E$189,4,0)</f>
        <v>MKD</v>
      </c>
      <c r="H205" s="18">
        <v>45906</v>
      </c>
      <c r="I205" s="18">
        <v>45908</v>
      </c>
      <c r="J205" s="29">
        <v>2</v>
      </c>
      <c r="K205" s="20">
        <v>40</v>
      </c>
      <c r="L205" s="20">
        <v>0</v>
      </c>
      <c r="M205" s="20">
        <f t="shared" si="6"/>
        <v>80</v>
      </c>
      <c r="N205" s="20">
        <f t="shared" si="7"/>
        <v>80</v>
      </c>
      <c r="O205" s="19" t="s">
        <v>344</v>
      </c>
      <c r="P205" s="19" t="s">
        <v>227</v>
      </c>
      <c r="Q205" s="19" t="s">
        <v>228</v>
      </c>
    </row>
    <row r="206" spans="1:17" x14ac:dyDescent="0.25">
      <c r="A206" s="19" t="s">
        <v>442</v>
      </c>
      <c r="B206" s="19" t="s">
        <v>220</v>
      </c>
      <c r="C206" s="19" t="s">
        <v>186</v>
      </c>
      <c r="D206" s="29">
        <v>108</v>
      </c>
      <c r="E206" s="29">
        <v>2</v>
      </c>
      <c r="F206" s="19" t="s">
        <v>226</v>
      </c>
      <c r="G206" s="30" t="str">
        <f>VLOOKUP(C206,Guests!$A$2:$E$189,4,0)</f>
        <v>MKD</v>
      </c>
      <c r="H206" s="18">
        <v>45906</v>
      </c>
      <c r="I206" s="18">
        <v>45908</v>
      </c>
      <c r="J206" s="29">
        <v>2</v>
      </c>
      <c r="K206" s="20">
        <v>40</v>
      </c>
      <c r="L206" s="20">
        <v>0</v>
      </c>
      <c r="M206" s="20">
        <f t="shared" si="6"/>
        <v>80</v>
      </c>
      <c r="N206" s="20">
        <f t="shared" si="7"/>
        <v>80</v>
      </c>
      <c r="O206" s="19" t="s">
        <v>344</v>
      </c>
      <c r="P206" s="19" t="s">
        <v>227</v>
      </c>
      <c r="Q206" s="19" t="s">
        <v>228</v>
      </c>
    </row>
    <row r="207" spans="1:17" x14ac:dyDescent="0.25">
      <c r="A207" s="19" t="s">
        <v>443</v>
      </c>
      <c r="B207" s="19" t="s">
        <v>220</v>
      </c>
      <c r="C207" s="19" t="s">
        <v>187</v>
      </c>
      <c r="D207" s="29">
        <v>8</v>
      </c>
      <c r="E207" s="29">
        <v>2</v>
      </c>
      <c r="F207" s="19" t="s">
        <v>226</v>
      </c>
      <c r="G207" s="30" t="str">
        <f>VLOOKUP(C207,Guests!$A$2:$E$189,4,0)</f>
        <v>Serbia</v>
      </c>
      <c r="H207" s="18">
        <v>45903</v>
      </c>
      <c r="I207" s="18">
        <v>45915</v>
      </c>
      <c r="J207" s="29">
        <v>12</v>
      </c>
      <c r="K207" s="20">
        <v>40</v>
      </c>
      <c r="L207" s="20">
        <v>0</v>
      </c>
      <c r="M207" s="20">
        <f t="shared" si="6"/>
        <v>480</v>
      </c>
      <c r="N207" s="20">
        <f t="shared" si="7"/>
        <v>480</v>
      </c>
      <c r="O207" s="19" t="s">
        <v>344</v>
      </c>
      <c r="P207" s="19" t="s">
        <v>223</v>
      </c>
      <c r="Q207" s="19" t="s">
        <v>228</v>
      </c>
    </row>
    <row r="208" spans="1:17" x14ac:dyDescent="0.25">
      <c r="A208" s="19" t="s">
        <v>444</v>
      </c>
      <c r="B208" s="19" t="s">
        <v>220</v>
      </c>
      <c r="C208" s="19" t="s">
        <v>188</v>
      </c>
      <c r="D208" s="29">
        <v>106</v>
      </c>
      <c r="E208" s="29">
        <v>2</v>
      </c>
      <c r="F208" s="19" t="s">
        <v>226</v>
      </c>
      <c r="G208" s="30" t="str">
        <f>VLOOKUP(C208,Guests!$A$2:$E$189,4,0)</f>
        <v>Greece</v>
      </c>
      <c r="H208" s="18">
        <v>45902</v>
      </c>
      <c r="I208" s="18">
        <v>45907</v>
      </c>
      <c r="J208" s="29">
        <v>5</v>
      </c>
      <c r="K208" s="20">
        <v>40</v>
      </c>
      <c r="L208" s="20">
        <v>0</v>
      </c>
      <c r="M208" s="20">
        <f t="shared" si="6"/>
        <v>200</v>
      </c>
      <c r="N208" s="20">
        <f t="shared" si="7"/>
        <v>200</v>
      </c>
      <c r="O208" s="19" t="s">
        <v>344</v>
      </c>
      <c r="P208" s="19" t="s">
        <v>223</v>
      </c>
      <c r="Q208" s="19" t="s">
        <v>228</v>
      </c>
    </row>
    <row r="209" spans="1:17" x14ac:dyDescent="0.25">
      <c r="A209" s="19" t="s">
        <v>445</v>
      </c>
      <c r="B209" s="19" t="s">
        <v>220</v>
      </c>
      <c r="C209" s="19" t="s">
        <v>189</v>
      </c>
      <c r="D209" s="29">
        <v>105</v>
      </c>
      <c r="E209" s="29">
        <v>2</v>
      </c>
      <c r="F209" s="19" t="s">
        <v>226</v>
      </c>
      <c r="G209" s="30" t="str">
        <f>VLOOKUP(C209,Guests!$A$2:$E$189,4,0)</f>
        <v>MKD</v>
      </c>
      <c r="H209" s="18">
        <v>45904</v>
      </c>
      <c r="I209" s="18">
        <v>45907</v>
      </c>
      <c r="J209" s="29">
        <v>3</v>
      </c>
      <c r="K209" s="20">
        <v>40</v>
      </c>
      <c r="L209" s="20">
        <v>50</v>
      </c>
      <c r="M209" s="20">
        <f t="shared" si="6"/>
        <v>70</v>
      </c>
      <c r="N209" s="20">
        <f t="shared" si="7"/>
        <v>120</v>
      </c>
      <c r="O209" s="19" t="s">
        <v>344</v>
      </c>
      <c r="P209" s="19" t="s">
        <v>296</v>
      </c>
      <c r="Q209" s="19" t="s">
        <v>228</v>
      </c>
    </row>
    <row r="210" spans="1:17" x14ac:dyDescent="0.25">
      <c r="A210" s="19" t="s">
        <v>446</v>
      </c>
      <c r="B210" s="19" t="s">
        <v>220</v>
      </c>
      <c r="C210" s="19" t="s">
        <v>190</v>
      </c>
      <c r="D210" s="29">
        <v>103</v>
      </c>
      <c r="E210" s="29">
        <v>2</v>
      </c>
      <c r="F210" s="19" t="s">
        <v>226</v>
      </c>
      <c r="G210" s="30" t="str">
        <f>VLOOKUP(C210,Guests!$A$2:$E$189,4,0)</f>
        <v>MKD</v>
      </c>
      <c r="H210" s="18">
        <v>45902</v>
      </c>
      <c r="I210" s="18">
        <v>45907</v>
      </c>
      <c r="J210" s="29">
        <v>5</v>
      </c>
      <c r="K210" s="20">
        <v>42</v>
      </c>
      <c r="L210" s="20">
        <v>0</v>
      </c>
      <c r="M210" s="20">
        <f t="shared" si="6"/>
        <v>210</v>
      </c>
      <c r="N210" s="20">
        <f t="shared" si="7"/>
        <v>210</v>
      </c>
      <c r="O210" s="19" t="s">
        <v>344</v>
      </c>
      <c r="P210" s="19" t="s">
        <v>246</v>
      </c>
      <c r="Q210" s="19" t="s">
        <v>259</v>
      </c>
    </row>
    <row r="211" spans="1:17" x14ac:dyDescent="0.25">
      <c r="A211" s="19" t="s">
        <v>447</v>
      </c>
      <c r="B211" s="19" t="s">
        <v>220</v>
      </c>
      <c r="C211" s="19" t="s">
        <v>191</v>
      </c>
      <c r="D211" s="29">
        <v>108</v>
      </c>
      <c r="E211" s="29">
        <v>2</v>
      </c>
      <c r="F211" s="19" t="s">
        <v>226</v>
      </c>
      <c r="G211" s="30" t="str">
        <f>VLOOKUP(C211,Guests!$A$2:$E$189,4,0)</f>
        <v>MKD</v>
      </c>
      <c r="H211" s="18">
        <v>45908</v>
      </c>
      <c r="I211" s="18">
        <v>45918</v>
      </c>
      <c r="J211" s="29">
        <v>10</v>
      </c>
      <c r="K211" s="20">
        <v>35</v>
      </c>
      <c r="L211" s="20">
        <v>0</v>
      </c>
      <c r="M211" s="20">
        <f t="shared" si="6"/>
        <v>350</v>
      </c>
      <c r="N211" s="20">
        <f t="shared" si="7"/>
        <v>350</v>
      </c>
      <c r="O211" s="19" t="s">
        <v>344</v>
      </c>
      <c r="P211" s="19" t="s">
        <v>227</v>
      </c>
      <c r="Q211" s="19" t="s">
        <v>259</v>
      </c>
    </row>
    <row r="212" spans="1:17" x14ac:dyDescent="0.25">
      <c r="A212" s="19" t="s">
        <v>448</v>
      </c>
      <c r="B212" s="19" t="s">
        <v>220</v>
      </c>
      <c r="C212" s="19" t="s">
        <v>192</v>
      </c>
      <c r="D212" s="29">
        <v>101</v>
      </c>
      <c r="E212" s="29">
        <v>2</v>
      </c>
      <c r="F212" s="19" t="s">
        <v>226</v>
      </c>
      <c r="G212" s="30" t="str">
        <f>VLOOKUP(C212,Guests!$A$2:$E$189,4,0)</f>
        <v>Serbia</v>
      </c>
      <c r="H212" s="18">
        <v>45904</v>
      </c>
      <c r="I212" s="18">
        <v>45914</v>
      </c>
      <c r="J212" s="29">
        <v>10</v>
      </c>
      <c r="K212" s="20">
        <v>35</v>
      </c>
      <c r="L212" s="20">
        <v>0</v>
      </c>
      <c r="M212" s="20">
        <f t="shared" si="6"/>
        <v>350</v>
      </c>
      <c r="N212" s="20">
        <f t="shared" si="7"/>
        <v>350</v>
      </c>
      <c r="O212" s="19" t="s">
        <v>344</v>
      </c>
      <c r="P212" s="19" t="s">
        <v>296</v>
      </c>
      <c r="Q212" s="19" t="s">
        <v>224</v>
      </c>
    </row>
    <row r="213" spans="1:17" x14ac:dyDescent="0.25">
      <c r="A213" s="19" t="s">
        <v>449</v>
      </c>
      <c r="B213" s="19" t="s">
        <v>220</v>
      </c>
      <c r="C213" s="19" t="s">
        <v>193</v>
      </c>
      <c r="D213" s="29">
        <v>2</v>
      </c>
      <c r="E213" s="29">
        <v>2</v>
      </c>
      <c r="F213" s="19" t="s">
        <v>226</v>
      </c>
      <c r="G213" s="30" t="str">
        <f>VLOOKUP(C213,Guests!$A$2:$E$189,4,0)</f>
        <v>MKD</v>
      </c>
      <c r="H213" s="18">
        <v>45906</v>
      </c>
      <c r="I213" s="18">
        <v>45908</v>
      </c>
      <c r="J213" s="29">
        <v>2</v>
      </c>
      <c r="K213" s="20">
        <v>40</v>
      </c>
      <c r="L213" s="20">
        <v>0</v>
      </c>
      <c r="M213" s="20">
        <f t="shared" si="6"/>
        <v>80</v>
      </c>
      <c r="N213" s="20">
        <f t="shared" si="7"/>
        <v>80</v>
      </c>
      <c r="O213" s="19" t="s">
        <v>344</v>
      </c>
      <c r="P213" s="19" t="s">
        <v>296</v>
      </c>
      <c r="Q213" s="19" t="s">
        <v>228</v>
      </c>
    </row>
    <row r="214" spans="1:17" x14ac:dyDescent="0.25">
      <c r="A214" s="19" t="s">
        <v>450</v>
      </c>
      <c r="B214" s="19" t="s">
        <v>220</v>
      </c>
      <c r="C214" s="19" t="s">
        <v>194</v>
      </c>
      <c r="D214" s="29">
        <v>6</v>
      </c>
      <c r="E214" s="29">
        <v>2</v>
      </c>
      <c r="F214" s="19" t="s">
        <v>226</v>
      </c>
      <c r="G214" s="30" t="str">
        <f>VLOOKUP(C214,Guests!$A$2:$E$189,4,0)</f>
        <v>Serbia</v>
      </c>
      <c r="H214" s="18">
        <v>45906</v>
      </c>
      <c r="I214" s="18">
        <v>45907</v>
      </c>
      <c r="J214" s="29">
        <v>1</v>
      </c>
      <c r="K214" s="20">
        <v>35</v>
      </c>
      <c r="L214" s="20">
        <v>0</v>
      </c>
      <c r="M214" s="20">
        <f t="shared" si="6"/>
        <v>35</v>
      </c>
      <c r="N214" s="20">
        <f t="shared" si="7"/>
        <v>35</v>
      </c>
      <c r="O214" s="19" t="s">
        <v>344</v>
      </c>
      <c r="P214" s="19" t="s">
        <v>296</v>
      </c>
      <c r="Q214" s="19" t="s">
        <v>228</v>
      </c>
    </row>
    <row r="215" spans="1:17" x14ac:dyDescent="0.25">
      <c r="A215" s="19" t="s">
        <v>451</v>
      </c>
      <c r="B215" s="19" t="s">
        <v>220</v>
      </c>
      <c r="C215" s="19" t="s">
        <v>194</v>
      </c>
      <c r="D215" s="29">
        <v>106</v>
      </c>
      <c r="E215" s="29">
        <v>2</v>
      </c>
      <c r="F215" s="19" t="s">
        <v>226</v>
      </c>
      <c r="G215" s="30" t="str">
        <f>VLOOKUP(C215,Guests!$A$2:$E$189,4,0)</f>
        <v>Serbia</v>
      </c>
      <c r="H215" s="18">
        <v>45907</v>
      </c>
      <c r="I215" s="18">
        <v>45914</v>
      </c>
      <c r="J215" s="29">
        <v>7</v>
      </c>
      <c r="K215" s="20">
        <v>35</v>
      </c>
      <c r="L215" s="20">
        <v>0</v>
      </c>
      <c r="M215" s="20">
        <f t="shared" si="6"/>
        <v>245</v>
      </c>
      <c r="N215" s="20">
        <f t="shared" si="7"/>
        <v>245</v>
      </c>
      <c r="O215" s="19" t="s">
        <v>344</v>
      </c>
      <c r="P215" s="19" t="s">
        <v>296</v>
      </c>
      <c r="Q215" s="19" t="s">
        <v>228</v>
      </c>
    </row>
    <row r="216" spans="1:17" x14ac:dyDescent="0.25">
      <c r="A216" s="19" t="s">
        <v>452</v>
      </c>
      <c r="B216" s="19" t="s">
        <v>220</v>
      </c>
      <c r="C216" s="19" t="s">
        <v>195</v>
      </c>
      <c r="D216" s="29">
        <v>5</v>
      </c>
      <c r="E216" s="29">
        <v>2</v>
      </c>
      <c r="F216" s="19" t="s">
        <v>226</v>
      </c>
      <c r="G216" s="30" t="str">
        <f>VLOOKUP(C216,Guests!$A$2:$E$189,4,0)</f>
        <v>MKD</v>
      </c>
      <c r="H216" s="18">
        <v>45907</v>
      </c>
      <c r="I216" s="18">
        <v>45909</v>
      </c>
      <c r="J216" s="29">
        <v>2</v>
      </c>
      <c r="K216" s="20">
        <v>40</v>
      </c>
      <c r="L216" s="20">
        <v>0</v>
      </c>
      <c r="M216" s="20">
        <f t="shared" si="6"/>
        <v>80</v>
      </c>
      <c r="N216" s="20">
        <f t="shared" si="7"/>
        <v>80</v>
      </c>
      <c r="O216" s="19" t="s">
        <v>344</v>
      </c>
      <c r="P216" s="19" t="s">
        <v>296</v>
      </c>
      <c r="Q216" s="19" t="s">
        <v>228</v>
      </c>
    </row>
    <row r="217" spans="1:17" x14ac:dyDescent="0.25">
      <c r="A217" s="19" t="s">
        <v>453</v>
      </c>
      <c r="B217" s="19" t="s">
        <v>220</v>
      </c>
      <c r="C217" s="19" t="s">
        <v>197</v>
      </c>
      <c r="D217" s="29">
        <v>4</v>
      </c>
      <c r="E217" s="29">
        <v>2</v>
      </c>
      <c r="F217" s="19" t="s">
        <v>226</v>
      </c>
      <c r="G217" s="30" t="str">
        <f>VLOOKUP(C217,Guests!$A$2:$E$189,4,0)</f>
        <v>Serbia</v>
      </c>
      <c r="H217" s="18">
        <v>45908</v>
      </c>
      <c r="I217" s="18">
        <v>45918</v>
      </c>
      <c r="J217" s="29">
        <v>10</v>
      </c>
      <c r="K217" s="20">
        <v>35</v>
      </c>
      <c r="L217" s="20">
        <v>0</v>
      </c>
      <c r="M217" s="20">
        <f t="shared" si="6"/>
        <v>350</v>
      </c>
      <c r="N217" s="20">
        <f t="shared" si="7"/>
        <v>350</v>
      </c>
      <c r="O217" s="19" t="s">
        <v>344</v>
      </c>
      <c r="P217" s="19" t="s">
        <v>296</v>
      </c>
      <c r="Q217" s="19" t="s">
        <v>228</v>
      </c>
    </row>
    <row r="218" spans="1:17" x14ac:dyDescent="0.25">
      <c r="A218" s="19" t="s">
        <v>454</v>
      </c>
      <c r="B218" s="19" t="s">
        <v>220</v>
      </c>
      <c r="C218" s="19" t="s">
        <v>198</v>
      </c>
      <c r="D218" s="29">
        <v>2</v>
      </c>
      <c r="E218" s="29">
        <v>1</v>
      </c>
      <c r="F218" s="19" t="s">
        <v>221</v>
      </c>
      <c r="G218" s="30" t="str">
        <f>VLOOKUP(C218,Guests!$A$2:$E$189,4,0)</f>
        <v>Greece</v>
      </c>
      <c r="H218" s="18">
        <v>45909</v>
      </c>
      <c r="I218" s="18">
        <v>45912</v>
      </c>
      <c r="J218" s="29">
        <v>3</v>
      </c>
      <c r="K218" s="20">
        <v>35</v>
      </c>
      <c r="L218" s="20">
        <v>0</v>
      </c>
      <c r="M218" s="20">
        <f t="shared" si="6"/>
        <v>105</v>
      </c>
      <c r="N218" s="20">
        <f t="shared" si="7"/>
        <v>105</v>
      </c>
      <c r="O218" s="19" t="s">
        <v>344</v>
      </c>
      <c r="P218" s="19" t="s">
        <v>223</v>
      </c>
      <c r="Q218" s="19" t="s">
        <v>228</v>
      </c>
    </row>
    <row r="219" spans="1:17" x14ac:dyDescent="0.25">
      <c r="A219" s="19" t="s">
        <v>455</v>
      </c>
      <c r="B219" s="19" t="s">
        <v>220</v>
      </c>
      <c r="C219" s="19" t="s">
        <v>200</v>
      </c>
      <c r="D219" s="29">
        <v>1</v>
      </c>
      <c r="E219" s="29">
        <v>2</v>
      </c>
      <c r="F219" s="19" t="s">
        <v>226</v>
      </c>
      <c r="G219" s="30" t="str">
        <f>VLOOKUP(C219,Guests!$A$2:$E$189,4,0)</f>
        <v>Serbia</v>
      </c>
      <c r="H219" s="18">
        <v>45911</v>
      </c>
      <c r="I219" s="18">
        <v>45921</v>
      </c>
      <c r="J219" s="29">
        <v>10</v>
      </c>
      <c r="K219" s="20">
        <v>30</v>
      </c>
      <c r="L219" s="20">
        <v>0</v>
      </c>
      <c r="M219" s="20">
        <f t="shared" si="6"/>
        <v>300</v>
      </c>
      <c r="N219" s="20">
        <f t="shared" si="7"/>
        <v>300</v>
      </c>
      <c r="O219" s="19" t="s">
        <v>344</v>
      </c>
      <c r="P219" s="19" t="s">
        <v>296</v>
      </c>
      <c r="Q219" s="19" t="s">
        <v>228</v>
      </c>
    </row>
    <row r="220" spans="1:17" x14ac:dyDescent="0.25">
      <c r="A220" s="19" t="s">
        <v>456</v>
      </c>
      <c r="B220" s="19" t="s">
        <v>220</v>
      </c>
      <c r="C220" s="19" t="s">
        <v>201</v>
      </c>
      <c r="D220" s="29">
        <v>107</v>
      </c>
      <c r="E220" s="29">
        <v>2</v>
      </c>
      <c r="F220" s="19" t="s">
        <v>226</v>
      </c>
      <c r="G220" s="30" t="str">
        <f>VLOOKUP(C220,Guests!$A$2:$E$189,4,0)</f>
        <v>Serbia</v>
      </c>
      <c r="H220" s="18">
        <v>45917</v>
      </c>
      <c r="I220" s="18">
        <v>45918</v>
      </c>
      <c r="J220" s="29">
        <v>1</v>
      </c>
      <c r="K220" s="20">
        <v>30</v>
      </c>
      <c r="L220" s="20">
        <v>0</v>
      </c>
      <c r="M220" s="20">
        <f t="shared" si="6"/>
        <v>30</v>
      </c>
      <c r="N220" s="20">
        <f t="shared" si="7"/>
        <v>30</v>
      </c>
      <c r="O220" s="19" t="s">
        <v>344</v>
      </c>
      <c r="P220" s="19" t="s">
        <v>296</v>
      </c>
      <c r="Q220" s="19" t="s">
        <v>228</v>
      </c>
    </row>
    <row r="221" spans="1:17" x14ac:dyDescent="0.25">
      <c r="A221" s="19" t="s">
        <v>457</v>
      </c>
      <c r="B221" s="19" t="s">
        <v>220</v>
      </c>
      <c r="C221" s="19" t="s">
        <v>202</v>
      </c>
      <c r="D221" s="29">
        <v>7</v>
      </c>
      <c r="E221" s="29">
        <v>2</v>
      </c>
      <c r="F221" s="19" t="s">
        <v>226</v>
      </c>
      <c r="G221" s="30" t="str">
        <f>VLOOKUP(C221,Guests!$A$2:$E$189,4,0)</f>
        <v>MKD</v>
      </c>
      <c r="H221" s="18">
        <v>45919</v>
      </c>
      <c r="I221" s="18">
        <v>45921</v>
      </c>
      <c r="J221" s="29">
        <v>2</v>
      </c>
      <c r="K221" s="20">
        <v>35</v>
      </c>
      <c r="L221" s="20">
        <v>0</v>
      </c>
      <c r="M221" s="20">
        <f t="shared" si="6"/>
        <v>70</v>
      </c>
      <c r="N221" s="20">
        <f t="shared" si="7"/>
        <v>70</v>
      </c>
      <c r="O221" s="19" t="s">
        <v>344</v>
      </c>
      <c r="P221" s="19" t="s">
        <v>296</v>
      </c>
      <c r="Q221" s="19" t="s">
        <v>228</v>
      </c>
    </row>
    <row r="222" spans="1:17" x14ac:dyDescent="0.25">
      <c r="A222" s="19" t="s">
        <v>458</v>
      </c>
      <c r="B222" s="19" t="s">
        <v>220</v>
      </c>
      <c r="C222" s="19" t="s">
        <v>69</v>
      </c>
      <c r="D222" s="29">
        <v>3</v>
      </c>
      <c r="E222" s="29">
        <v>2</v>
      </c>
      <c r="F222" s="19" t="s">
        <v>226</v>
      </c>
      <c r="G222" s="30" t="str">
        <f>VLOOKUP(C222,Guests!$A$2:$E$189,4,0)</f>
        <v>Serbia</v>
      </c>
      <c r="H222" s="18">
        <v>45843</v>
      </c>
      <c r="I222" s="18">
        <v>45847</v>
      </c>
      <c r="J222" s="29">
        <v>4</v>
      </c>
      <c r="K222" s="20">
        <v>30</v>
      </c>
      <c r="L222" s="20">
        <v>0</v>
      </c>
      <c r="M222" s="20">
        <f t="shared" si="6"/>
        <v>120</v>
      </c>
      <c r="N222" s="20">
        <f t="shared" si="7"/>
        <v>120</v>
      </c>
      <c r="O222" s="19" t="s">
        <v>243</v>
      </c>
      <c r="P222" s="19" t="s">
        <v>296</v>
      </c>
      <c r="Q222" s="19" t="s">
        <v>228</v>
      </c>
    </row>
  </sheetData>
  <dataValidations count="1">
    <dataValidation type="list" allowBlank="1" showInputMessage="1" showErrorMessage="1" sqref="Q2:Q1048576" xr:uid="{BED9A3C6-A735-453D-B284-0D1FC2A9085D}">
      <formula1>"Maria,Dimitra,Katerina"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3CDEC-0255-4CB0-B45A-C0C21F84826C}">
  <dimension ref="A1:E114"/>
  <sheetViews>
    <sheetView topLeftCell="A9" zoomScaleNormal="100" workbookViewId="0">
      <selection activeCell="J10" sqref="J10"/>
    </sheetView>
  </sheetViews>
  <sheetFormatPr defaultRowHeight="15" x14ac:dyDescent="0.25"/>
  <cols>
    <col min="1" max="1" width="8.42578125" style="1" bestFit="1" customWidth="1"/>
    <col min="2" max="2" width="6.85546875" style="2" bestFit="1" customWidth="1"/>
    <col min="3" max="3" width="26.140625" style="2" bestFit="1" customWidth="1"/>
    <col min="4" max="4" width="23.28515625" style="2" bestFit="1" customWidth="1"/>
    <col min="5" max="5" width="8.5703125" style="3" bestFit="1" customWidth="1"/>
  </cols>
  <sheetData>
    <row r="1" spans="1:5" x14ac:dyDescent="0.25">
      <c r="A1" s="21" t="s">
        <v>497</v>
      </c>
      <c r="B1" s="22" t="s">
        <v>216</v>
      </c>
      <c r="C1" s="22" t="s">
        <v>498</v>
      </c>
      <c r="D1" s="22" t="s">
        <v>499</v>
      </c>
      <c r="E1" s="23" t="s">
        <v>500</v>
      </c>
    </row>
    <row r="2" spans="1:5" x14ac:dyDescent="0.25">
      <c r="A2" s="24">
        <v>45821</v>
      </c>
      <c r="B2" s="25" t="s">
        <v>222</v>
      </c>
      <c r="C2" s="25" t="s">
        <v>470</v>
      </c>
      <c r="D2" s="25" t="s">
        <v>471</v>
      </c>
      <c r="E2" s="26">
        <v>20</v>
      </c>
    </row>
    <row r="3" spans="1:5" x14ac:dyDescent="0.25">
      <c r="A3" s="24">
        <v>45832</v>
      </c>
      <c r="B3" s="25" t="s">
        <v>222</v>
      </c>
      <c r="C3" s="25" t="s">
        <v>470</v>
      </c>
      <c r="D3" s="25" t="s">
        <v>472</v>
      </c>
      <c r="E3" s="26">
        <v>60</v>
      </c>
    </row>
    <row r="4" spans="1:5" x14ac:dyDescent="0.25">
      <c r="A4" s="24">
        <v>45833</v>
      </c>
      <c r="B4" s="25" t="s">
        <v>222</v>
      </c>
      <c r="C4" s="25" t="s">
        <v>470</v>
      </c>
      <c r="D4" s="25" t="s">
        <v>473</v>
      </c>
      <c r="E4" s="26">
        <v>104.23</v>
      </c>
    </row>
    <row r="5" spans="1:5" x14ac:dyDescent="0.25">
      <c r="A5" s="24">
        <v>45836</v>
      </c>
      <c r="B5" s="25" t="s">
        <v>222</v>
      </c>
      <c r="C5" s="25" t="s">
        <v>470</v>
      </c>
      <c r="D5" s="25" t="s">
        <v>472</v>
      </c>
      <c r="E5" s="26">
        <v>30</v>
      </c>
    </row>
    <row r="6" spans="1:5" x14ac:dyDescent="0.25">
      <c r="A6" s="24">
        <v>45836</v>
      </c>
      <c r="B6" s="25" t="s">
        <v>222</v>
      </c>
      <c r="C6" s="25" t="s">
        <v>470</v>
      </c>
      <c r="D6" s="25" t="s">
        <v>471</v>
      </c>
      <c r="E6" s="26">
        <v>45</v>
      </c>
    </row>
    <row r="7" spans="1:5" x14ac:dyDescent="0.25">
      <c r="A7" s="24">
        <v>45838</v>
      </c>
      <c r="B7" s="25" t="s">
        <v>222</v>
      </c>
      <c r="C7" s="25" t="s">
        <v>470</v>
      </c>
      <c r="D7" s="25" t="s">
        <v>472</v>
      </c>
      <c r="E7" s="26">
        <v>60</v>
      </c>
    </row>
    <row r="8" spans="1:5" x14ac:dyDescent="0.25">
      <c r="A8" s="24">
        <v>45839</v>
      </c>
      <c r="B8" s="25" t="s">
        <v>243</v>
      </c>
      <c r="C8" s="25" t="s">
        <v>470</v>
      </c>
      <c r="D8" s="25" t="s">
        <v>472</v>
      </c>
      <c r="E8" s="26">
        <v>30</v>
      </c>
    </row>
    <row r="9" spans="1:5" x14ac:dyDescent="0.25">
      <c r="A9" s="24">
        <v>45843</v>
      </c>
      <c r="B9" s="25" t="s">
        <v>243</v>
      </c>
      <c r="C9" s="25" t="s">
        <v>470</v>
      </c>
      <c r="D9" s="25" t="s">
        <v>471</v>
      </c>
      <c r="E9" s="26">
        <v>47</v>
      </c>
    </row>
    <row r="10" spans="1:5" x14ac:dyDescent="0.25">
      <c r="A10" s="24">
        <v>45843</v>
      </c>
      <c r="B10" s="25" t="s">
        <v>243</v>
      </c>
      <c r="C10" s="25" t="s">
        <v>470</v>
      </c>
      <c r="D10" s="25" t="s">
        <v>473</v>
      </c>
      <c r="E10" s="26">
        <v>13</v>
      </c>
    </row>
    <row r="11" spans="1:5" x14ac:dyDescent="0.25">
      <c r="A11" s="24">
        <v>45847</v>
      </c>
      <c r="B11" s="25" t="s">
        <v>243</v>
      </c>
      <c r="C11" s="25" t="s">
        <v>470</v>
      </c>
      <c r="D11" s="25" t="s">
        <v>472</v>
      </c>
      <c r="E11" s="26">
        <v>60</v>
      </c>
    </row>
    <row r="12" spans="1:5" x14ac:dyDescent="0.25">
      <c r="A12" s="24">
        <v>45847</v>
      </c>
      <c r="B12" s="25" t="s">
        <v>243</v>
      </c>
      <c r="C12" s="25" t="s">
        <v>470</v>
      </c>
      <c r="D12" s="25" t="s">
        <v>473</v>
      </c>
      <c r="E12" s="26">
        <v>50</v>
      </c>
    </row>
    <row r="13" spans="1:5" x14ac:dyDescent="0.25">
      <c r="A13" s="24">
        <v>45849</v>
      </c>
      <c r="B13" s="25" t="s">
        <v>243</v>
      </c>
      <c r="C13" s="25" t="s">
        <v>470</v>
      </c>
      <c r="D13" s="25" t="s">
        <v>472</v>
      </c>
      <c r="E13" s="26">
        <v>30</v>
      </c>
    </row>
    <row r="14" spans="1:5" x14ac:dyDescent="0.25">
      <c r="A14" s="24">
        <v>45849</v>
      </c>
      <c r="B14" s="25" t="s">
        <v>243</v>
      </c>
      <c r="C14" s="25" t="s">
        <v>470</v>
      </c>
      <c r="D14" s="25" t="s">
        <v>471</v>
      </c>
      <c r="E14" s="26">
        <v>60</v>
      </c>
    </row>
    <row r="15" spans="1:5" x14ac:dyDescent="0.25">
      <c r="A15" s="24">
        <v>45851</v>
      </c>
      <c r="B15" s="25" t="s">
        <v>243</v>
      </c>
      <c r="C15" s="25" t="s">
        <v>470</v>
      </c>
      <c r="D15" s="25" t="s">
        <v>472</v>
      </c>
      <c r="E15" s="26">
        <v>30</v>
      </c>
    </row>
    <row r="16" spans="1:5" x14ac:dyDescent="0.25">
      <c r="A16" s="24">
        <v>45853</v>
      </c>
      <c r="B16" s="25" t="s">
        <v>243</v>
      </c>
      <c r="C16" s="25" t="s">
        <v>470</v>
      </c>
      <c r="D16" s="25" t="s">
        <v>473</v>
      </c>
      <c r="E16" s="26">
        <v>10</v>
      </c>
    </row>
    <row r="17" spans="1:5" x14ac:dyDescent="0.25">
      <c r="A17" s="24">
        <v>45855</v>
      </c>
      <c r="B17" s="25" t="s">
        <v>243</v>
      </c>
      <c r="C17" s="25" t="s">
        <v>470</v>
      </c>
      <c r="D17" s="25" t="s">
        <v>472</v>
      </c>
      <c r="E17" s="26">
        <v>30</v>
      </c>
    </row>
    <row r="18" spans="1:5" x14ac:dyDescent="0.25">
      <c r="A18" s="24">
        <v>45856</v>
      </c>
      <c r="B18" s="25" t="s">
        <v>243</v>
      </c>
      <c r="C18" s="25" t="s">
        <v>470</v>
      </c>
      <c r="D18" s="25" t="s">
        <v>471</v>
      </c>
      <c r="E18" s="26">
        <v>35</v>
      </c>
    </row>
    <row r="19" spans="1:5" x14ac:dyDescent="0.25">
      <c r="A19" s="24">
        <v>45858</v>
      </c>
      <c r="B19" s="25" t="s">
        <v>243</v>
      </c>
      <c r="C19" s="25" t="s">
        <v>470</v>
      </c>
      <c r="D19" s="25" t="s">
        <v>472</v>
      </c>
      <c r="E19" s="26">
        <v>60</v>
      </c>
    </row>
    <row r="20" spans="1:5" x14ac:dyDescent="0.25">
      <c r="A20" s="24">
        <v>45861</v>
      </c>
      <c r="B20" s="25" t="s">
        <v>243</v>
      </c>
      <c r="C20" s="25" t="s">
        <v>470</v>
      </c>
      <c r="D20" s="25" t="s">
        <v>472</v>
      </c>
      <c r="E20" s="26">
        <v>30</v>
      </c>
    </row>
    <row r="21" spans="1:5" x14ac:dyDescent="0.25">
      <c r="A21" s="24">
        <v>45864</v>
      </c>
      <c r="B21" s="25" t="s">
        <v>243</v>
      </c>
      <c r="C21" s="25" t="s">
        <v>470</v>
      </c>
      <c r="D21" s="25" t="s">
        <v>472</v>
      </c>
      <c r="E21" s="26">
        <v>30</v>
      </c>
    </row>
    <row r="22" spans="1:5" x14ac:dyDescent="0.25">
      <c r="A22" s="24">
        <v>45866</v>
      </c>
      <c r="B22" s="25" t="s">
        <v>243</v>
      </c>
      <c r="C22" s="25" t="s">
        <v>470</v>
      </c>
      <c r="D22" s="25" t="s">
        <v>472</v>
      </c>
      <c r="E22" s="26">
        <v>80</v>
      </c>
    </row>
    <row r="23" spans="1:5" x14ac:dyDescent="0.25">
      <c r="A23" s="24">
        <v>45867</v>
      </c>
      <c r="B23" s="25" t="s">
        <v>243</v>
      </c>
      <c r="C23" s="25" t="s">
        <v>470</v>
      </c>
      <c r="D23" s="25" t="s">
        <v>472</v>
      </c>
      <c r="E23" s="26">
        <v>30</v>
      </c>
    </row>
    <row r="24" spans="1:5" x14ac:dyDescent="0.25">
      <c r="A24" s="24">
        <v>45869</v>
      </c>
      <c r="B24" s="25" t="s">
        <v>243</v>
      </c>
      <c r="C24" s="25" t="s">
        <v>470</v>
      </c>
      <c r="D24" s="25" t="s">
        <v>473</v>
      </c>
      <c r="E24" s="26">
        <v>10</v>
      </c>
    </row>
    <row r="25" spans="1:5" x14ac:dyDescent="0.25">
      <c r="A25" s="24">
        <v>45870</v>
      </c>
      <c r="B25" s="25" t="s">
        <v>261</v>
      </c>
      <c r="C25" s="25" t="s">
        <v>470</v>
      </c>
      <c r="D25" s="25" t="s">
        <v>472</v>
      </c>
      <c r="E25" s="26">
        <v>30</v>
      </c>
    </row>
    <row r="26" spans="1:5" x14ac:dyDescent="0.25">
      <c r="A26" s="24">
        <v>45875</v>
      </c>
      <c r="B26" s="25" t="s">
        <v>261</v>
      </c>
      <c r="C26" s="25" t="s">
        <v>470</v>
      </c>
      <c r="D26" s="25" t="s">
        <v>471</v>
      </c>
      <c r="E26" s="26">
        <v>98</v>
      </c>
    </row>
    <row r="27" spans="1:5" x14ac:dyDescent="0.25">
      <c r="A27" s="24">
        <v>45876</v>
      </c>
      <c r="B27" s="25" t="s">
        <v>261</v>
      </c>
      <c r="C27" s="25" t="s">
        <v>470</v>
      </c>
      <c r="D27" s="25" t="s">
        <v>472</v>
      </c>
      <c r="E27" s="26">
        <v>80</v>
      </c>
    </row>
    <row r="28" spans="1:5" x14ac:dyDescent="0.25">
      <c r="A28" s="24">
        <v>45876</v>
      </c>
      <c r="B28" s="25" t="s">
        <v>261</v>
      </c>
      <c r="C28" s="25" t="s">
        <v>470</v>
      </c>
      <c r="D28" s="25" t="s">
        <v>473</v>
      </c>
      <c r="E28" s="26">
        <v>10</v>
      </c>
    </row>
    <row r="29" spans="1:5" x14ac:dyDescent="0.25">
      <c r="A29" s="24">
        <v>45877</v>
      </c>
      <c r="B29" s="25" t="s">
        <v>261</v>
      </c>
      <c r="C29" s="25" t="s">
        <v>470</v>
      </c>
      <c r="D29" s="25" t="s">
        <v>472</v>
      </c>
      <c r="E29" s="26">
        <v>30</v>
      </c>
    </row>
    <row r="30" spans="1:5" x14ac:dyDescent="0.25">
      <c r="A30" s="24">
        <v>45881</v>
      </c>
      <c r="B30" s="25" t="s">
        <v>261</v>
      </c>
      <c r="C30" s="25" t="s">
        <v>470</v>
      </c>
      <c r="D30" s="25" t="s">
        <v>471</v>
      </c>
      <c r="E30" s="26">
        <v>49</v>
      </c>
    </row>
    <row r="31" spans="1:5" x14ac:dyDescent="0.25">
      <c r="A31" s="24">
        <v>45883</v>
      </c>
      <c r="B31" s="25" t="s">
        <v>261</v>
      </c>
      <c r="C31" s="25" t="s">
        <v>470</v>
      </c>
      <c r="D31" s="25" t="s">
        <v>472</v>
      </c>
      <c r="E31" s="26">
        <v>40</v>
      </c>
    </row>
    <row r="32" spans="1:5" x14ac:dyDescent="0.25">
      <c r="A32" s="24">
        <v>45886</v>
      </c>
      <c r="B32" s="25" t="s">
        <v>261</v>
      </c>
      <c r="C32" s="25" t="s">
        <v>470</v>
      </c>
      <c r="D32" s="25" t="s">
        <v>472</v>
      </c>
      <c r="E32" s="26">
        <v>40</v>
      </c>
    </row>
    <row r="33" spans="1:5" x14ac:dyDescent="0.25">
      <c r="A33" s="24">
        <v>45888</v>
      </c>
      <c r="B33" s="25" t="s">
        <v>261</v>
      </c>
      <c r="C33" s="25" t="s">
        <v>470</v>
      </c>
      <c r="D33" s="25" t="s">
        <v>471</v>
      </c>
      <c r="E33" s="26">
        <v>55</v>
      </c>
    </row>
    <row r="34" spans="1:5" x14ac:dyDescent="0.25">
      <c r="A34" s="24">
        <v>45889</v>
      </c>
      <c r="B34" s="25" t="s">
        <v>261</v>
      </c>
      <c r="C34" s="25" t="s">
        <v>470</v>
      </c>
      <c r="D34" s="25" t="s">
        <v>473</v>
      </c>
      <c r="E34" s="26">
        <v>25</v>
      </c>
    </row>
    <row r="35" spans="1:5" x14ac:dyDescent="0.25">
      <c r="A35" s="24">
        <v>45890</v>
      </c>
      <c r="B35" s="25" t="s">
        <v>261</v>
      </c>
      <c r="C35" s="25" t="s">
        <v>470</v>
      </c>
      <c r="D35" s="25" t="s">
        <v>472</v>
      </c>
      <c r="E35" s="26">
        <v>30</v>
      </c>
    </row>
    <row r="36" spans="1:5" x14ac:dyDescent="0.25">
      <c r="A36" s="24">
        <v>45891</v>
      </c>
      <c r="B36" s="25" t="s">
        <v>261</v>
      </c>
      <c r="C36" s="25" t="s">
        <v>470</v>
      </c>
      <c r="D36" s="25" t="s">
        <v>472</v>
      </c>
      <c r="E36" s="26">
        <v>30</v>
      </c>
    </row>
    <row r="37" spans="1:5" x14ac:dyDescent="0.25">
      <c r="A37" s="24">
        <v>45891</v>
      </c>
      <c r="B37" s="25" t="s">
        <v>261</v>
      </c>
      <c r="C37" s="25" t="s">
        <v>470</v>
      </c>
      <c r="D37" s="25" t="s">
        <v>473</v>
      </c>
      <c r="E37" s="26">
        <v>157</v>
      </c>
    </row>
    <row r="38" spans="1:5" x14ac:dyDescent="0.25">
      <c r="A38" s="24">
        <v>45895</v>
      </c>
      <c r="B38" s="25" t="s">
        <v>261</v>
      </c>
      <c r="C38" s="25" t="s">
        <v>470</v>
      </c>
      <c r="D38" s="25" t="s">
        <v>472</v>
      </c>
      <c r="E38" s="26">
        <v>30</v>
      </c>
    </row>
    <row r="39" spans="1:5" x14ac:dyDescent="0.25">
      <c r="A39" s="24">
        <v>45895</v>
      </c>
      <c r="B39" s="25" t="s">
        <v>261</v>
      </c>
      <c r="C39" s="25" t="s">
        <v>470</v>
      </c>
      <c r="D39" s="25" t="s">
        <v>471</v>
      </c>
      <c r="E39" s="26">
        <v>60</v>
      </c>
    </row>
    <row r="40" spans="1:5" x14ac:dyDescent="0.25">
      <c r="A40" s="24">
        <v>45897</v>
      </c>
      <c r="B40" s="25" t="s">
        <v>261</v>
      </c>
      <c r="C40" s="25" t="s">
        <v>470</v>
      </c>
      <c r="D40" s="25" t="s">
        <v>472</v>
      </c>
      <c r="E40" s="26">
        <v>30</v>
      </c>
    </row>
    <row r="41" spans="1:5" x14ac:dyDescent="0.25">
      <c r="A41" s="24">
        <v>45898</v>
      </c>
      <c r="B41" s="25" t="s">
        <v>261</v>
      </c>
      <c r="C41" s="25" t="s">
        <v>470</v>
      </c>
      <c r="D41" s="25" t="s">
        <v>473</v>
      </c>
      <c r="E41" s="26">
        <v>22</v>
      </c>
    </row>
    <row r="42" spans="1:5" x14ac:dyDescent="0.25">
      <c r="A42" s="24">
        <v>45899</v>
      </c>
      <c r="B42" s="25" t="s">
        <v>261</v>
      </c>
      <c r="C42" s="25" t="s">
        <v>470</v>
      </c>
      <c r="D42" s="25" t="s">
        <v>472</v>
      </c>
      <c r="E42" s="26">
        <v>30</v>
      </c>
    </row>
    <row r="43" spans="1:5" x14ac:dyDescent="0.25">
      <c r="A43" s="24">
        <v>45900</v>
      </c>
      <c r="B43" s="25" t="s">
        <v>261</v>
      </c>
      <c r="C43" s="25" t="s">
        <v>470</v>
      </c>
      <c r="D43" s="25" t="s">
        <v>472</v>
      </c>
      <c r="E43" s="26">
        <v>40</v>
      </c>
    </row>
    <row r="44" spans="1:5" x14ac:dyDescent="0.25">
      <c r="A44" s="24">
        <v>45902</v>
      </c>
      <c r="B44" s="25" t="s">
        <v>344</v>
      </c>
      <c r="C44" s="25" t="s">
        <v>470</v>
      </c>
      <c r="D44" s="25" t="s">
        <v>473</v>
      </c>
      <c r="E44" s="26">
        <v>7</v>
      </c>
    </row>
    <row r="45" spans="1:5" x14ac:dyDescent="0.25">
      <c r="A45" s="24">
        <v>45905</v>
      </c>
      <c r="B45" s="25" t="s">
        <v>344</v>
      </c>
      <c r="C45" s="25" t="s">
        <v>470</v>
      </c>
      <c r="D45" s="25" t="s">
        <v>471</v>
      </c>
      <c r="E45" s="26">
        <v>60</v>
      </c>
    </row>
    <row r="46" spans="1:5" x14ac:dyDescent="0.25">
      <c r="A46" s="24">
        <v>45908</v>
      </c>
      <c r="B46" s="25" t="s">
        <v>344</v>
      </c>
      <c r="C46" s="25" t="s">
        <v>470</v>
      </c>
      <c r="D46" s="25" t="s">
        <v>472</v>
      </c>
      <c r="E46" s="26">
        <v>70</v>
      </c>
    </row>
    <row r="47" spans="1:5" x14ac:dyDescent="0.25">
      <c r="A47" s="24">
        <v>45915</v>
      </c>
      <c r="B47" s="25" t="s">
        <v>344</v>
      </c>
      <c r="C47" s="25" t="s">
        <v>470</v>
      </c>
      <c r="D47" s="25" t="s">
        <v>473</v>
      </c>
      <c r="E47" s="26">
        <v>5</v>
      </c>
    </row>
    <row r="48" spans="1:5" x14ac:dyDescent="0.25">
      <c r="A48" s="24">
        <v>45924</v>
      </c>
      <c r="B48" s="25" t="s">
        <v>344</v>
      </c>
      <c r="C48" s="25" t="s">
        <v>470</v>
      </c>
      <c r="D48" s="25" t="s">
        <v>472</v>
      </c>
      <c r="E48" s="26">
        <v>120</v>
      </c>
    </row>
    <row r="49" spans="1:5" x14ac:dyDescent="0.25">
      <c r="A49" s="24">
        <v>45927</v>
      </c>
      <c r="B49" s="25" t="s">
        <v>344</v>
      </c>
      <c r="C49" s="25" t="s">
        <v>470</v>
      </c>
      <c r="D49" s="25" t="s">
        <v>471</v>
      </c>
      <c r="E49" s="26">
        <v>35</v>
      </c>
    </row>
    <row r="50" spans="1:5" x14ac:dyDescent="0.25">
      <c r="A50" s="24">
        <v>45818</v>
      </c>
      <c r="B50" s="25" t="s">
        <v>222</v>
      </c>
      <c r="C50" s="25" t="s">
        <v>482</v>
      </c>
      <c r="D50" s="25" t="s">
        <v>483</v>
      </c>
      <c r="E50" s="26">
        <v>35</v>
      </c>
    </row>
    <row r="51" spans="1:5" x14ac:dyDescent="0.25">
      <c r="A51" s="24">
        <v>45823</v>
      </c>
      <c r="B51" s="25" t="s">
        <v>222</v>
      </c>
      <c r="C51" s="25" t="s">
        <v>482</v>
      </c>
      <c r="D51" s="25" t="s">
        <v>484</v>
      </c>
      <c r="E51" s="26">
        <v>20.7</v>
      </c>
    </row>
    <row r="52" spans="1:5" x14ac:dyDescent="0.25">
      <c r="A52" s="24">
        <v>45826</v>
      </c>
      <c r="B52" s="25" t="s">
        <v>222</v>
      </c>
      <c r="C52" s="25" t="s">
        <v>482</v>
      </c>
      <c r="D52" s="25" t="s">
        <v>484</v>
      </c>
      <c r="E52" s="26">
        <v>35</v>
      </c>
    </row>
    <row r="53" spans="1:5" x14ac:dyDescent="0.25">
      <c r="A53" s="24">
        <v>45829</v>
      </c>
      <c r="B53" s="25" t="s">
        <v>222</v>
      </c>
      <c r="C53" s="25" t="s">
        <v>482</v>
      </c>
      <c r="D53" s="25" t="s">
        <v>485</v>
      </c>
      <c r="E53" s="26">
        <v>45</v>
      </c>
    </row>
    <row r="54" spans="1:5" x14ac:dyDescent="0.25">
      <c r="A54" s="24">
        <v>45830</v>
      </c>
      <c r="B54" s="25" t="s">
        <v>222</v>
      </c>
      <c r="C54" s="25" t="s">
        <v>482</v>
      </c>
      <c r="D54" s="25" t="s">
        <v>486</v>
      </c>
      <c r="E54" s="26">
        <v>20</v>
      </c>
    </row>
    <row r="55" spans="1:5" x14ac:dyDescent="0.25">
      <c r="A55" s="24">
        <v>45831</v>
      </c>
      <c r="B55" s="25" t="s">
        <v>222</v>
      </c>
      <c r="C55" s="25" t="s">
        <v>482</v>
      </c>
      <c r="D55" s="25" t="s">
        <v>484</v>
      </c>
      <c r="E55" s="26">
        <v>40</v>
      </c>
    </row>
    <row r="56" spans="1:5" x14ac:dyDescent="0.25">
      <c r="A56" s="24">
        <v>45834</v>
      </c>
      <c r="B56" s="25" t="s">
        <v>222</v>
      </c>
      <c r="C56" s="25" t="s">
        <v>482</v>
      </c>
      <c r="D56" s="25" t="s">
        <v>486</v>
      </c>
      <c r="E56" s="26">
        <v>20</v>
      </c>
    </row>
    <row r="57" spans="1:5" x14ac:dyDescent="0.25">
      <c r="A57" s="24">
        <v>45840</v>
      </c>
      <c r="B57" s="25" t="s">
        <v>243</v>
      </c>
      <c r="C57" s="25" t="s">
        <v>482</v>
      </c>
      <c r="D57" s="25" t="s">
        <v>487</v>
      </c>
      <c r="E57" s="26">
        <v>50</v>
      </c>
    </row>
    <row r="58" spans="1:5" x14ac:dyDescent="0.25">
      <c r="A58" s="24">
        <v>45847</v>
      </c>
      <c r="B58" s="25" t="s">
        <v>243</v>
      </c>
      <c r="C58" s="25" t="s">
        <v>482</v>
      </c>
      <c r="D58" s="25" t="s">
        <v>488</v>
      </c>
      <c r="E58" s="26">
        <v>100</v>
      </c>
    </row>
    <row r="59" spans="1:5" x14ac:dyDescent="0.25">
      <c r="A59" s="24">
        <v>45848</v>
      </c>
      <c r="B59" s="25" t="s">
        <v>243</v>
      </c>
      <c r="C59" s="25" t="s">
        <v>482</v>
      </c>
      <c r="D59" s="25" t="s">
        <v>486</v>
      </c>
      <c r="E59" s="26">
        <v>30</v>
      </c>
    </row>
    <row r="60" spans="1:5" x14ac:dyDescent="0.25">
      <c r="A60" s="24">
        <v>45852</v>
      </c>
      <c r="B60" s="25" t="s">
        <v>243</v>
      </c>
      <c r="C60" s="25" t="s">
        <v>482</v>
      </c>
      <c r="D60" s="25" t="s">
        <v>484</v>
      </c>
      <c r="E60" s="26">
        <v>20</v>
      </c>
    </row>
    <row r="61" spans="1:5" x14ac:dyDescent="0.25">
      <c r="A61" s="24">
        <v>45854</v>
      </c>
      <c r="B61" s="25" t="s">
        <v>243</v>
      </c>
      <c r="C61" s="25" t="s">
        <v>482</v>
      </c>
      <c r="D61" s="25" t="s">
        <v>489</v>
      </c>
      <c r="E61" s="26">
        <v>130</v>
      </c>
    </row>
    <row r="62" spans="1:5" x14ac:dyDescent="0.25">
      <c r="A62" s="24">
        <v>45856</v>
      </c>
      <c r="B62" s="25" t="s">
        <v>243</v>
      </c>
      <c r="C62" s="25" t="s">
        <v>482</v>
      </c>
      <c r="D62" s="25" t="s">
        <v>484</v>
      </c>
      <c r="E62" s="26">
        <v>45</v>
      </c>
    </row>
    <row r="63" spans="1:5" x14ac:dyDescent="0.25">
      <c r="A63" s="24">
        <v>45871</v>
      </c>
      <c r="B63" s="25" t="s">
        <v>261</v>
      </c>
      <c r="C63" s="25" t="s">
        <v>482</v>
      </c>
      <c r="D63" s="25" t="s">
        <v>484</v>
      </c>
      <c r="E63" s="26">
        <v>20</v>
      </c>
    </row>
    <row r="64" spans="1:5" x14ac:dyDescent="0.25">
      <c r="A64" s="24">
        <v>45872</v>
      </c>
      <c r="B64" s="25" t="s">
        <v>261</v>
      </c>
      <c r="C64" s="25" t="s">
        <v>482</v>
      </c>
      <c r="D64" s="25" t="s">
        <v>488</v>
      </c>
      <c r="E64" s="26">
        <v>27</v>
      </c>
    </row>
    <row r="65" spans="1:5" x14ac:dyDescent="0.25">
      <c r="A65" s="24">
        <v>45873</v>
      </c>
      <c r="B65" s="25" t="s">
        <v>261</v>
      </c>
      <c r="C65" s="25" t="s">
        <v>482</v>
      </c>
      <c r="D65" s="25" t="s">
        <v>486</v>
      </c>
      <c r="E65" s="26">
        <v>40</v>
      </c>
    </row>
    <row r="66" spans="1:5" x14ac:dyDescent="0.25">
      <c r="A66" s="24">
        <v>45880</v>
      </c>
      <c r="B66" s="25" t="s">
        <v>261</v>
      </c>
      <c r="C66" s="25" t="s">
        <v>482</v>
      </c>
      <c r="D66" s="25" t="s">
        <v>484</v>
      </c>
      <c r="E66" s="26">
        <v>16</v>
      </c>
    </row>
    <row r="67" spans="1:5" x14ac:dyDescent="0.25">
      <c r="A67" s="24">
        <v>45882</v>
      </c>
      <c r="B67" s="25" t="s">
        <v>261</v>
      </c>
      <c r="C67" s="25" t="s">
        <v>482</v>
      </c>
      <c r="D67" s="25" t="s">
        <v>486</v>
      </c>
      <c r="E67" s="26">
        <v>21</v>
      </c>
    </row>
    <row r="68" spans="1:5" x14ac:dyDescent="0.25">
      <c r="A68" s="24">
        <v>45883</v>
      </c>
      <c r="B68" s="25" t="s">
        <v>261</v>
      </c>
      <c r="C68" s="25" t="s">
        <v>482</v>
      </c>
      <c r="D68" s="25" t="s">
        <v>484</v>
      </c>
      <c r="E68" s="26">
        <v>20</v>
      </c>
    </row>
    <row r="69" spans="1:5" x14ac:dyDescent="0.25">
      <c r="A69" s="24">
        <v>45884</v>
      </c>
      <c r="B69" s="25" t="s">
        <v>261</v>
      </c>
      <c r="C69" s="25" t="s">
        <v>482</v>
      </c>
      <c r="D69" s="25" t="s">
        <v>490</v>
      </c>
      <c r="E69" s="26">
        <v>210</v>
      </c>
    </row>
    <row r="70" spans="1:5" x14ac:dyDescent="0.25">
      <c r="A70" s="24">
        <v>45886</v>
      </c>
      <c r="B70" s="25" t="s">
        <v>261</v>
      </c>
      <c r="C70" s="25" t="s">
        <v>482</v>
      </c>
      <c r="D70" s="25" t="s">
        <v>488</v>
      </c>
      <c r="E70" s="26">
        <v>20</v>
      </c>
    </row>
    <row r="71" spans="1:5" x14ac:dyDescent="0.25">
      <c r="A71" s="24">
        <v>45892</v>
      </c>
      <c r="B71" s="25" t="s">
        <v>261</v>
      </c>
      <c r="C71" s="25" t="s">
        <v>482</v>
      </c>
      <c r="D71" s="25" t="s">
        <v>484</v>
      </c>
      <c r="E71" s="26">
        <v>43.8</v>
      </c>
    </row>
    <row r="72" spans="1:5" x14ac:dyDescent="0.25">
      <c r="A72" s="24">
        <v>45893</v>
      </c>
      <c r="B72" s="25" t="s">
        <v>261</v>
      </c>
      <c r="C72" s="25" t="s">
        <v>482</v>
      </c>
      <c r="D72" s="25" t="s">
        <v>486</v>
      </c>
      <c r="E72" s="26">
        <v>10</v>
      </c>
    </row>
    <row r="73" spans="1:5" x14ac:dyDescent="0.25">
      <c r="A73" s="24">
        <v>45894</v>
      </c>
      <c r="B73" s="25" t="s">
        <v>261</v>
      </c>
      <c r="C73" s="25" t="s">
        <v>482</v>
      </c>
      <c r="D73" s="25" t="s">
        <v>486</v>
      </c>
      <c r="E73" s="26">
        <v>50</v>
      </c>
    </row>
    <row r="74" spans="1:5" x14ac:dyDescent="0.25">
      <c r="A74" s="24">
        <v>45924</v>
      </c>
      <c r="B74" s="25" t="s">
        <v>344</v>
      </c>
      <c r="C74" s="25" t="s">
        <v>482</v>
      </c>
      <c r="D74" s="25" t="s">
        <v>486</v>
      </c>
      <c r="E74" s="26">
        <v>20</v>
      </c>
    </row>
    <row r="75" spans="1:5" x14ac:dyDescent="0.25">
      <c r="A75" s="24">
        <v>45820</v>
      </c>
      <c r="B75" s="25" t="s">
        <v>222</v>
      </c>
      <c r="C75" s="25" t="s">
        <v>482</v>
      </c>
      <c r="D75" s="25" t="s">
        <v>496</v>
      </c>
      <c r="E75" s="26">
        <v>30</v>
      </c>
    </row>
    <row r="76" spans="1:5" x14ac:dyDescent="0.25">
      <c r="A76" s="24">
        <v>45831</v>
      </c>
      <c r="B76" s="25" t="s">
        <v>222</v>
      </c>
      <c r="C76" s="25" t="s">
        <v>482</v>
      </c>
      <c r="D76" s="25" t="s">
        <v>496</v>
      </c>
      <c r="E76" s="26">
        <v>30</v>
      </c>
    </row>
    <row r="77" spans="1:5" x14ac:dyDescent="0.25">
      <c r="A77" s="24">
        <v>45839</v>
      </c>
      <c r="B77" s="25" t="s">
        <v>243</v>
      </c>
      <c r="C77" s="25" t="s">
        <v>482</v>
      </c>
      <c r="D77" s="25" t="s">
        <v>496</v>
      </c>
      <c r="E77" s="26">
        <v>10</v>
      </c>
    </row>
    <row r="78" spans="1:5" x14ac:dyDescent="0.25">
      <c r="A78" s="24">
        <v>45864</v>
      </c>
      <c r="B78" s="25" t="s">
        <v>243</v>
      </c>
      <c r="C78" s="25" t="s">
        <v>482</v>
      </c>
      <c r="D78" s="25" t="s">
        <v>496</v>
      </c>
      <c r="E78" s="26">
        <v>20</v>
      </c>
    </row>
    <row r="79" spans="1:5" x14ac:dyDescent="0.25">
      <c r="A79" s="24">
        <v>45876</v>
      </c>
      <c r="B79" s="25" t="s">
        <v>261</v>
      </c>
      <c r="C79" s="25" t="s">
        <v>482</v>
      </c>
      <c r="D79" s="25" t="s">
        <v>496</v>
      </c>
      <c r="E79" s="26">
        <v>25</v>
      </c>
    </row>
    <row r="80" spans="1:5" x14ac:dyDescent="0.25">
      <c r="A80" s="24">
        <v>45902</v>
      </c>
      <c r="B80" s="25" t="s">
        <v>344</v>
      </c>
      <c r="C80" s="25" t="s">
        <v>482</v>
      </c>
      <c r="D80" s="25" t="s">
        <v>496</v>
      </c>
      <c r="E80" s="26">
        <v>30</v>
      </c>
    </row>
    <row r="81" spans="1:5" x14ac:dyDescent="0.25">
      <c r="A81" s="24">
        <v>45820</v>
      </c>
      <c r="B81" s="25" t="s">
        <v>222</v>
      </c>
      <c r="C81" s="25" t="s">
        <v>474</v>
      </c>
      <c r="D81" s="25" t="s">
        <v>475</v>
      </c>
      <c r="E81" s="26">
        <v>200</v>
      </c>
    </row>
    <row r="82" spans="1:5" x14ac:dyDescent="0.25">
      <c r="A82" s="24">
        <v>45832</v>
      </c>
      <c r="B82" s="25" t="s">
        <v>222</v>
      </c>
      <c r="C82" s="25" t="s">
        <v>474</v>
      </c>
      <c r="D82" s="25" t="s">
        <v>476</v>
      </c>
      <c r="E82" s="26">
        <v>140</v>
      </c>
    </row>
    <row r="83" spans="1:5" x14ac:dyDescent="0.25">
      <c r="A83" s="24">
        <v>45846</v>
      </c>
      <c r="B83" s="25" t="s">
        <v>243</v>
      </c>
      <c r="C83" s="25" t="s">
        <v>474</v>
      </c>
      <c r="D83" s="25" t="s">
        <v>477</v>
      </c>
      <c r="E83" s="26">
        <v>300</v>
      </c>
    </row>
    <row r="84" spans="1:5" x14ac:dyDescent="0.25">
      <c r="A84" s="24">
        <v>45849</v>
      </c>
      <c r="B84" s="25" t="s">
        <v>243</v>
      </c>
      <c r="C84" s="25" t="s">
        <v>474</v>
      </c>
      <c r="D84" s="25" t="s">
        <v>478</v>
      </c>
      <c r="E84" s="26">
        <v>16</v>
      </c>
    </row>
    <row r="85" spans="1:5" x14ac:dyDescent="0.25">
      <c r="A85" s="24">
        <v>45872</v>
      </c>
      <c r="B85" s="25" t="s">
        <v>261</v>
      </c>
      <c r="C85" s="25" t="s">
        <v>474</v>
      </c>
      <c r="D85" s="25" t="s">
        <v>477</v>
      </c>
      <c r="E85" s="26">
        <v>300</v>
      </c>
    </row>
    <row r="86" spans="1:5" x14ac:dyDescent="0.25">
      <c r="A86" s="24">
        <v>45880</v>
      </c>
      <c r="B86" s="25" t="s">
        <v>261</v>
      </c>
      <c r="C86" s="25" t="s">
        <v>474</v>
      </c>
      <c r="D86" s="25" t="s">
        <v>479</v>
      </c>
      <c r="E86" s="26">
        <v>150</v>
      </c>
    </row>
    <row r="87" spans="1:5" x14ac:dyDescent="0.25">
      <c r="A87" s="24">
        <v>45892</v>
      </c>
      <c r="B87" s="25" t="s">
        <v>261</v>
      </c>
      <c r="C87" s="25" t="s">
        <v>474</v>
      </c>
      <c r="D87" s="25" t="s">
        <v>480</v>
      </c>
      <c r="E87" s="26">
        <v>35</v>
      </c>
    </row>
    <row r="88" spans="1:5" x14ac:dyDescent="0.25">
      <c r="A88" s="24">
        <v>45902</v>
      </c>
      <c r="B88" s="25" t="s">
        <v>344</v>
      </c>
      <c r="C88" s="25" t="s">
        <v>474</v>
      </c>
      <c r="D88" s="25" t="s">
        <v>477</v>
      </c>
      <c r="E88" s="26">
        <v>345</v>
      </c>
    </row>
    <row r="89" spans="1:5" x14ac:dyDescent="0.25">
      <c r="A89" s="24">
        <v>45824</v>
      </c>
      <c r="B89" s="25" t="s">
        <v>222</v>
      </c>
      <c r="C89" s="25" t="s">
        <v>474</v>
      </c>
      <c r="D89" s="25" t="s">
        <v>481</v>
      </c>
      <c r="E89" s="26">
        <v>500</v>
      </c>
    </row>
    <row r="90" spans="1:5" x14ac:dyDescent="0.25">
      <c r="A90" s="24">
        <v>45875</v>
      </c>
      <c r="B90" s="25" t="s">
        <v>261</v>
      </c>
      <c r="C90" s="25" t="s">
        <v>474</v>
      </c>
      <c r="D90" s="25" t="s">
        <v>481</v>
      </c>
      <c r="E90" s="26">
        <v>610</v>
      </c>
    </row>
    <row r="91" spans="1:5" x14ac:dyDescent="0.25">
      <c r="A91" s="24">
        <v>45800</v>
      </c>
      <c r="B91" s="25" t="s">
        <v>464</v>
      </c>
      <c r="C91" s="25" t="s">
        <v>474</v>
      </c>
      <c r="D91" s="25" t="s">
        <v>491</v>
      </c>
      <c r="E91" s="26">
        <v>53.32</v>
      </c>
    </row>
    <row r="92" spans="1:5" x14ac:dyDescent="0.25">
      <c r="A92" s="24">
        <v>45803</v>
      </c>
      <c r="B92" s="25" t="s">
        <v>464</v>
      </c>
      <c r="C92" s="25" t="s">
        <v>474</v>
      </c>
      <c r="D92" s="25" t="s">
        <v>492</v>
      </c>
      <c r="E92" s="26">
        <v>99</v>
      </c>
    </row>
    <row r="93" spans="1:5" x14ac:dyDescent="0.25">
      <c r="A93" s="24">
        <v>45829</v>
      </c>
      <c r="B93" s="25" t="s">
        <v>222</v>
      </c>
      <c r="C93" s="25" t="s">
        <v>474</v>
      </c>
      <c r="D93" s="25" t="s">
        <v>493</v>
      </c>
      <c r="E93" s="26">
        <v>530</v>
      </c>
    </row>
    <row r="94" spans="1:5" x14ac:dyDescent="0.25">
      <c r="A94" s="24">
        <v>45869</v>
      </c>
      <c r="B94" s="25" t="s">
        <v>243</v>
      </c>
      <c r="C94" s="25" t="s">
        <v>474</v>
      </c>
      <c r="D94" s="25" t="s">
        <v>493</v>
      </c>
      <c r="E94" s="26">
        <v>75</v>
      </c>
    </row>
    <row r="95" spans="1:5" x14ac:dyDescent="0.25">
      <c r="A95" s="24">
        <v>45894</v>
      </c>
      <c r="B95" s="25" t="s">
        <v>261</v>
      </c>
      <c r="C95" s="25" t="s">
        <v>474</v>
      </c>
      <c r="D95" s="25" t="s">
        <v>493</v>
      </c>
      <c r="E95" s="26">
        <v>50</v>
      </c>
    </row>
    <row r="96" spans="1:5" x14ac:dyDescent="0.25">
      <c r="A96" s="24">
        <v>45911</v>
      </c>
      <c r="B96" s="25" t="s">
        <v>344</v>
      </c>
      <c r="C96" s="25" t="s">
        <v>474</v>
      </c>
      <c r="D96" s="25" t="s">
        <v>494</v>
      </c>
      <c r="E96" s="26">
        <v>20</v>
      </c>
    </row>
    <row r="97" spans="1:5" x14ac:dyDescent="0.25">
      <c r="A97" s="24">
        <v>45927</v>
      </c>
      <c r="B97" s="25" t="s">
        <v>344</v>
      </c>
      <c r="C97" s="25" t="s">
        <v>474</v>
      </c>
      <c r="D97" s="25" t="s">
        <v>495</v>
      </c>
      <c r="E97" s="26">
        <v>80</v>
      </c>
    </row>
    <row r="98" spans="1:5" x14ac:dyDescent="0.25">
      <c r="A98" s="24">
        <v>45836</v>
      </c>
      <c r="B98" s="25" t="s">
        <v>222</v>
      </c>
      <c r="C98" s="25" t="s">
        <v>459</v>
      </c>
      <c r="D98" s="25" t="s">
        <v>460</v>
      </c>
      <c r="E98" s="26">
        <v>800</v>
      </c>
    </row>
    <row r="99" spans="1:5" x14ac:dyDescent="0.25">
      <c r="A99" s="24">
        <v>45854</v>
      </c>
      <c r="B99" s="25" t="s">
        <v>243</v>
      </c>
      <c r="C99" s="25" t="s">
        <v>459</v>
      </c>
      <c r="D99" s="25" t="s">
        <v>461</v>
      </c>
      <c r="E99" s="26">
        <v>5000</v>
      </c>
    </row>
    <row r="100" spans="1:5" x14ac:dyDescent="0.25">
      <c r="A100" s="24">
        <v>45867</v>
      </c>
      <c r="B100" s="25" t="s">
        <v>243</v>
      </c>
      <c r="C100" s="25" t="s">
        <v>459</v>
      </c>
      <c r="D100" s="25" t="s">
        <v>460</v>
      </c>
      <c r="E100" s="26">
        <v>800</v>
      </c>
    </row>
    <row r="101" spans="1:5" x14ac:dyDescent="0.25">
      <c r="A101" s="24">
        <v>45899</v>
      </c>
      <c r="B101" s="25" t="s">
        <v>261</v>
      </c>
      <c r="C101" s="25" t="s">
        <v>459</v>
      </c>
      <c r="D101" s="25" t="s">
        <v>460</v>
      </c>
      <c r="E101" s="26">
        <v>800</v>
      </c>
    </row>
    <row r="102" spans="1:5" x14ac:dyDescent="0.25">
      <c r="A102" s="24">
        <v>45899</v>
      </c>
      <c r="B102" s="25" t="s">
        <v>261</v>
      </c>
      <c r="C102" s="25" t="s">
        <v>459</v>
      </c>
      <c r="D102" s="25" t="s">
        <v>462</v>
      </c>
      <c r="E102" s="26">
        <v>500</v>
      </c>
    </row>
    <row r="103" spans="1:5" x14ac:dyDescent="0.25">
      <c r="A103" s="24">
        <v>45901</v>
      </c>
      <c r="B103" s="25" t="s">
        <v>344</v>
      </c>
      <c r="C103" s="25" t="s">
        <v>459</v>
      </c>
      <c r="D103" s="25" t="s">
        <v>463</v>
      </c>
      <c r="E103" s="26">
        <v>1000</v>
      </c>
    </row>
    <row r="104" spans="1:5" x14ac:dyDescent="0.25">
      <c r="A104" s="24">
        <v>45807</v>
      </c>
      <c r="B104" s="25" t="s">
        <v>464</v>
      </c>
      <c r="C104" s="25" t="s">
        <v>465</v>
      </c>
      <c r="D104" s="25" t="s">
        <v>466</v>
      </c>
      <c r="E104" s="26">
        <v>120</v>
      </c>
    </row>
    <row r="105" spans="1:5" x14ac:dyDescent="0.25">
      <c r="A105" s="24">
        <v>45810</v>
      </c>
      <c r="B105" s="25" t="s">
        <v>222</v>
      </c>
      <c r="C105" s="25" t="s">
        <v>465</v>
      </c>
      <c r="D105" s="25" t="s">
        <v>467</v>
      </c>
      <c r="E105" s="26">
        <v>138</v>
      </c>
    </row>
    <row r="106" spans="1:5" x14ac:dyDescent="0.25">
      <c r="A106" s="24">
        <v>45825</v>
      </c>
      <c r="B106" s="25" t="s">
        <v>222</v>
      </c>
      <c r="C106" s="25" t="s">
        <v>465</v>
      </c>
      <c r="D106" s="25" t="s">
        <v>468</v>
      </c>
      <c r="E106" s="26">
        <v>27.37</v>
      </c>
    </row>
    <row r="107" spans="1:5" x14ac:dyDescent="0.25">
      <c r="A107" s="24">
        <v>45827</v>
      </c>
      <c r="B107" s="25" t="s">
        <v>222</v>
      </c>
      <c r="C107" s="25" t="s">
        <v>465</v>
      </c>
      <c r="D107" s="25" t="s">
        <v>467</v>
      </c>
      <c r="E107" s="26">
        <v>136</v>
      </c>
    </row>
    <row r="108" spans="1:5" x14ac:dyDescent="0.25">
      <c r="A108" s="24">
        <v>45839</v>
      </c>
      <c r="B108" s="25" t="s">
        <v>243</v>
      </c>
      <c r="C108" s="25" t="s">
        <v>465</v>
      </c>
      <c r="D108" s="25" t="s">
        <v>468</v>
      </c>
      <c r="E108" s="26">
        <v>82</v>
      </c>
    </row>
    <row r="109" spans="1:5" x14ac:dyDescent="0.25">
      <c r="A109" s="24">
        <v>45859</v>
      </c>
      <c r="B109" s="25" t="s">
        <v>243</v>
      </c>
      <c r="C109" s="25" t="s">
        <v>465</v>
      </c>
      <c r="D109" s="25" t="s">
        <v>467</v>
      </c>
      <c r="E109" s="26">
        <v>338</v>
      </c>
    </row>
    <row r="110" spans="1:5" x14ac:dyDescent="0.25">
      <c r="A110" s="24">
        <v>45877</v>
      </c>
      <c r="B110" s="25" t="s">
        <v>261</v>
      </c>
      <c r="C110" s="25" t="s">
        <v>465</v>
      </c>
      <c r="D110" s="25" t="s">
        <v>468</v>
      </c>
      <c r="E110" s="26">
        <v>2</v>
      </c>
    </row>
    <row r="111" spans="1:5" x14ac:dyDescent="0.25">
      <c r="A111" s="24">
        <v>45877</v>
      </c>
      <c r="B111" s="25" t="s">
        <v>261</v>
      </c>
      <c r="C111" s="25" t="s">
        <v>465</v>
      </c>
      <c r="D111" s="25" t="s">
        <v>469</v>
      </c>
      <c r="E111" s="26">
        <v>136</v>
      </c>
    </row>
    <row r="112" spans="1:5" x14ac:dyDescent="0.25">
      <c r="A112" s="24">
        <v>45886</v>
      </c>
      <c r="B112" s="25" t="s">
        <v>261</v>
      </c>
      <c r="C112" s="25" t="s">
        <v>465</v>
      </c>
      <c r="D112" s="25" t="s">
        <v>467</v>
      </c>
      <c r="E112" s="26">
        <v>663</v>
      </c>
    </row>
    <row r="113" spans="1:5" x14ac:dyDescent="0.25">
      <c r="A113" s="24">
        <v>45901</v>
      </c>
      <c r="B113" s="25" t="s">
        <v>344</v>
      </c>
      <c r="C113" s="25" t="s">
        <v>465</v>
      </c>
      <c r="D113" s="25" t="s">
        <v>468</v>
      </c>
      <c r="E113" s="26">
        <v>32.5</v>
      </c>
    </row>
    <row r="114" spans="1:5" x14ac:dyDescent="0.25">
      <c r="A114" s="24">
        <v>45925</v>
      </c>
      <c r="B114" s="25" t="s">
        <v>344</v>
      </c>
      <c r="C114" s="25" t="s">
        <v>465</v>
      </c>
      <c r="D114" s="25" t="s">
        <v>467</v>
      </c>
      <c r="E114" s="26">
        <v>675</v>
      </c>
    </row>
  </sheetData>
  <sortState xmlns:xlrd2="http://schemas.microsoft.com/office/spreadsheetml/2017/richdata2" ref="A2:E114">
    <sortCondition ref="C5:C1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Guests</vt:lpstr>
      <vt:lpstr>Bookings</vt:lpstr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</cp:lastModifiedBy>
  <dcterms:created xsi:type="dcterms:W3CDTF">2026-01-20T20:54:34Z</dcterms:created>
  <dcterms:modified xsi:type="dcterms:W3CDTF">2026-01-22T11:33:16Z</dcterms:modified>
</cp:coreProperties>
</file>